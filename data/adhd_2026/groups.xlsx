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lhaimng-my.sharepoint.com/personal/rafi_telhai_ac_il/Documents/Analysis_Workspace/ADHD_research/"/>
    </mc:Choice>
  </mc:AlternateContent>
  <xr:revisionPtr revIDLastSave="0" documentId="8_{B09697AF-4CC1-4735-94F1-836EB7A11BF6}" xr6:coauthVersionLast="47" xr6:coauthVersionMax="47" xr10:uidLastSave="{00000000-0000-0000-0000-000000000000}"/>
  <bookViews>
    <workbookView xWindow="-120" yWindow="-120" windowWidth="29040" windowHeight="15720" xr2:uid="{77364167-27D8-423C-A131-E455120CF86B}"/>
  </bookViews>
  <sheets>
    <sheet name="ALL_data" sheetId="1" r:id="rId1"/>
  </sheets>
  <definedNames>
    <definedName name="_xlnm._FilterDatabase" localSheetId="0" hidden="1">ALL_data!$A$1:$AC$74</definedName>
    <definedName name="ExternalData_1" localSheetId="0" hidden="1">ALL_data!#REF!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77" i="1" l="1"/>
  <c r="AL77" i="1"/>
  <c r="AJ77" i="1"/>
  <c r="AI77" i="1"/>
  <c r="AN76" i="1"/>
  <c r="AL76" i="1"/>
  <c r="AJ76" i="1"/>
  <c r="AI76" i="1"/>
  <c r="L76" i="1"/>
  <c r="AN75" i="1"/>
  <c r="AL75" i="1"/>
  <c r="AJ75" i="1"/>
  <c r="AI75" i="1"/>
  <c r="L75" i="1"/>
  <c r="AN74" i="1"/>
  <c r="AL74" i="1"/>
  <c r="AJ74" i="1"/>
  <c r="AI74" i="1"/>
  <c r="L74" i="1"/>
  <c r="AN73" i="1"/>
  <c r="AL73" i="1"/>
  <c r="AJ73" i="1"/>
  <c r="AI73" i="1"/>
  <c r="L73" i="1"/>
  <c r="AN72" i="1"/>
  <c r="AL72" i="1"/>
  <c r="AJ72" i="1"/>
  <c r="AI72" i="1"/>
  <c r="L72" i="1"/>
  <c r="AN71" i="1"/>
  <c r="AL71" i="1"/>
  <c r="AJ71" i="1"/>
  <c r="AI71" i="1"/>
  <c r="L71" i="1"/>
  <c r="AN70" i="1"/>
  <c r="AL70" i="1"/>
  <c r="AJ70" i="1"/>
  <c r="AI70" i="1"/>
  <c r="L70" i="1"/>
  <c r="AN69" i="1"/>
  <c r="AL69" i="1"/>
  <c r="AJ69" i="1"/>
  <c r="AI69" i="1"/>
  <c r="L69" i="1"/>
  <c r="AN68" i="1"/>
  <c r="AL68" i="1"/>
  <c r="AJ68" i="1"/>
  <c r="AI68" i="1"/>
  <c r="L68" i="1"/>
  <c r="AN67" i="1"/>
  <c r="AL67" i="1"/>
  <c r="AJ67" i="1"/>
  <c r="AI67" i="1"/>
  <c r="L67" i="1"/>
  <c r="AN66" i="1"/>
  <c r="AL66" i="1"/>
  <c r="AJ66" i="1"/>
  <c r="AI66" i="1"/>
  <c r="L66" i="1"/>
  <c r="AN65" i="1"/>
  <c r="AL65" i="1"/>
  <c r="AJ65" i="1"/>
  <c r="AI65" i="1"/>
  <c r="AN64" i="1"/>
  <c r="AL64" i="1"/>
  <c r="AJ64" i="1"/>
  <c r="AI64" i="1"/>
  <c r="L64" i="1"/>
  <c r="AN63" i="1"/>
  <c r="AL63" i="1"/>
  <c r="AJ63" i="1"/>
  <c r="AI63" i="1"/>
  <c r="L63" i="1"/>
  <c r="AN62" i="1"/>
  <c r="AL62" i="1"/>
  <c r="AJ62" i="1"/>
  <c r="AI62" i="1"/>
  <c r="L62" i="1"/>
  <c r="AN61" i="1"/>
  <c r="AL61" i="1"/>
  <c r="AJ61" i="1"/>
  <c r="AI61" i="1"/>
  <c r="L61" i="1"/>
  <c r="AN60" i="1"/>
  <c r="AL60" i="1"/>
  <c r="AJ60" i="1"/>
  <c r="AI60" i="1"/>
  <c r="L60" i="1"/>
  <c r="AN59" i="1"/>
  <c r="AL59" i="1"/>
  <c r="AJ59" i="1"/>
  <c r="AI59" i="1"/>
  <c r="L59" i="1"/>
  <c r="AN58" i="1"/>
  <c r="AL58" i="1"/>
  <c r="AJ58" i="1"/>
  <c r="AI58" i="1"/>
  <c r="L58" i="1"/>
  <c r="AN57" i="1"/>
  <c r="AL57" i="1"/>
  <c r="AJ57" i="1"/>
  <c r="AI57" i="1"/>
  <c r="L57" i="1"/>
  <c r="AN56" i="1"/>
  <c r="AL56" i="1"/>
  <c r="AJ56" i="1"/>
  <c r="AI56" i="1"/>
  <c r="L56" i="1"/>
  <c r="AN55" i="1"/>
  <c r="AL55" i="1"/>
  <c r="AJ55" i="1"/>
  <c r="AI55" i="1"/>
  <c r="L55" i="1"/>
  <c r="AN54" i="1"/>
  <c r="AL54" i="1"/>
  <c r="AJ54" i="1"/>
  <c r="AI54" i="1"/>
  <c r="L54" i="1"/>
  <c r="AN53" i="1"/>
  <c r="AL53" i="1"/>
  <c r="AJ53" i="1"/>
  <c r="AI53" i="1"/>
  <c r="L53" i="1"/>
  <c r="L52" i="1"/>
  <c r="AN51" i="1"/>
  <c r="AL51" i="1"/>
  <c r="AJ51" i="1"/>
  <c r="AI51" i="1"/>
  <c r="L51" i="1"/>
  <c r="AN50" i="1"/>
  <c r="AL50" i="1"/>
  <c r="AJ50" i="1"/>
  <c r="AI50" i="1"/>
  <c r="AN49" i="1"/>
  <c r="AL49" i="1"/>
  <c r="AJ49" i="1"/>
  <c r="AI49" i="1"/>
  <c r="L49" i="1"/>
  <c r="L48" i="1"/>
  <c r="AN47" i="1"/>
  <c r="AL47" i="1"/>
  <c r="AJ47" i="1"/>
  <c r="AI47" i="1"/>
  <c r="L47" i="1"/>
  <c r="AN46" i="1"/>
  <c r="AL46" i="1"/>
  <c r="AJ46" i="1"/>
  <c r="AI46" i="1"/>
  <c r="L46" i="1"/>
  <c r="AN45" i="1"/>
  <c r="AL45" i="1"/>
  <c r="AJ45" i="1"/>
  <c r="AI45" i="1"/>
  <c r="L45" i="1"/>
  <c r="AN44" i="1"/>
  <c r="AL44" i="1"/>
  <c r="AJ44" i="1"/>
  <c r="AI44" i="1"/>
  <c r="L44" i="1"/>
  <c r="AN43" i="1"/>
  <c r="AL43" i="1"/>
  <c r="AJ43" i="1"/>
  <c r="AI43" i="1"/>
  <c r="L43" i="1"/>
  <c r="AN42" i="1"/>
  <c r="AL42" i="1"/>
  <c r="AJ42" i="1"/>
  <c r="AI42" i="1"/>
  <c r="L42" i="1"/>
  <c r="AN41" i="1"/>
  <c r="AL41" i="1"/>
  <c r="AJ41" i="1"/>
  <c r="AI41" i="1"/>
  <c r="L40" i="1"/>
  <c r="AN39" i="1"/>
  <c r="AL39" i="1"/>
  <c r="AJ39" i="1"/>
  <c r="AI39" i="1"/>
  <c r="L39" i="1"/>
  <c r="AN38" i="1"/>
  <c r="AL38" i="1"/>
  <c r="AJ38" i="1"/>
  <c r="AI38" i="1"/>
  <c r="AN37" i="1"/>
  <c r="AL37" i="1"/>
  <c r="AJ37" i="1"/>
  <c r="AI37" i="1"/>
  <c r="L37" i="1"/>
  <c r="AN36" i="1"/>
  <c r="AL36" i="1"/>
  <c r="AJ36" i="1"/>
  <c r="AI36" i="1"/>
  <c r="L36" i="1"/>
  <c r="AN35" i="1"/>
  <c r="AL35" i="1"/>
  <c r="AJ35" i="1"/>
  <c r="AI35" i="1"/>
  <c r="L35" i="1"/>
  <c r="AN34" i="1"/>
  <c r="AL34" i="1"/>
  <c r="AJ34" i="1"/>
  <c r="AI34" i="1"/>
  <c r="L34" i="1"/>
  <c r="AN33" i="1"/>
  <c r="AL33" i="1"/>
  <c r="AJ33" i="1"/>
  <c r="AI33" i="1"/>
  <c r="L33" i="1"/>
  <c r="AN32" i="1"/>
  <c r="AL32" i="1"/>
  <c r="AJ32" i="1"/>
  <c r="AI32" i="1"/>
  <c r="L32" i="1"/>
  <c r="AN31" i="1"/>
  <c r="AL31" i="1"/>
  <c r="AJ31" i="1"/>
  <c r="AI31" i="1"/>
  <c r="L31" i="1"/>
  <c r="AN30" i="1"/>
  <c r="AL30" i="1"/>
  <c r="AJ30" i="1"/>
  <c r="AI30" i="1"/>
  <c r="L30" i="1"/>
  <c r="AN29" i="1"/>
  <c r="AL29" i="1"/>
  <c r="AJ29" i="1"/>
  <c r="AI29" i="1"/>
  <c r="L29" i="1"/>
  <c r="AN28" i="1"/>
  <c r="AL28" i="1"/>
  <c r="AJ28" i="1"/>
  <c r="AI28" i="1"/>
  <c r="L28" i="1"/>
  <c r="AN27" i="1"/>
  <c r="AL27" i="1"/>
  <c r="AJ27" i="1"/>
  <c r="AI27" i="1"/>
  <c r="AN26" i="1"/>
  <c r="AL26" i="1"/>
  <c r="AJ26" i="1"/>
  <c r="AI26" i="1"/>
  <c r="L26" i="1"/>
  <c r="AN25" i="1"/>
  <c r="AL25" i="1"/>
  <c r="AJ25" i="1"/>
  <c r="AI25" i="1"/>
  <c r="L25" i="1"/>
  <c r="L24" i="1"/>
  <c r="AN23" i="1"/>
  <c r="AL23" i="1"/>
  <c r="AJ23" i="1"/>
  <c r="AI23" i="1"/>
  <c r="L23" i="1"/>
  <c r="AN22" i="1"/>
  <c r="AL22" i="1"/>
  <c r="AJ22" i="1"/>
  <c r="AI22" i="1"/>
  <c r="L22" i="1"/>
  <c r="AN21" i="1"/>
  <c r="AL21" i="1"/>
  <c r="AJ21" i="1"/>
  <c r="AI21" i="1"/>
  <c r="L21" i="1"/>
  <c r="AN20" i="1"/>
  <c r="AL20" i="1"/>
  <c r="AJ20" i="1"/>
  <c r="AI20" i="1"/>
  <c r="L20" i="1"/>
  <c r="AN19" i="1"/>
  <c r="AL19" i="1"/>
  <c r="AJ19" i="1"/>
  <c r="AI19" i="1"/>
  <c r="L19" i="1"/>
  <c r="AN18" i="1"/>
  <c r="AL18" i="1"/>
  <c r="AJ18" i="1"/>
  <c r="AI18" i="1"/>
  <c r="L18" i="1"/>
  <c r="AN17" i="1"/>
  <c r="AL17" i="1"/>
  <c r="AJ17" i="1"/>
  <c r="AI17" i="1"/>
  <c r="L17" i="1"/>
  <c r="AN16" i="1"/>
  <c r="AL16" i="1"/>
  <c r="AJ16" i="1"/>
  <c r="AI16" i="1"/>
  <c r="L16" i="1"/>
  <c r="AN15" i="1"/>
  <c r="AL15" i="1"/>
  <c r="AJ15" i="1"/>
  <c r="AI15" i="1"/>
  <c r="L15" i="1"/>
  <c r="AN14" i="1"/>
  <c r="AL14" i="1"/>
  <c r="AJ14" i="1"/>
  <c r="AI14" i="1"/>
  <c r="L14" i="1"/>
  <c r="AN13" i="1"/>
  <c r="AL13" i="1"/>
  <c r="AJ13" i="1"/>
  <c r="AI13" i="1"/>
  <c r="L13" i="1"/>
  <c r="L12" i="1"/>
  <c r="AN11" i="1"/>
  <c r="AL11" i="1"/>
  <c r="AJ11" i="1"/>
  <c r="AI11" i="1"/>
  <c r="L11" i="1"/>
  <c r="AN10" i="1"/>
  <c r="AL10" i="1"/>
  <c r="AJ10" i="1"/>
  <c r="AI10" i="1"/>
  <c r="L10" i="1"/>
  <c r="AN9" i="1"/>
  <c r="AL9" i="1"/>
  <c r="AJ9" i="1"/>
  <c r="AI9" i="1"/>
  <c r="L9" i="1"/>
  <c r="AN8" i="1"/>
  <c r="AL8" i="1"/>
  <c r="AJ8" i="1"/>
  <c r="AI8" i="1"/>
  <c r="L8" i="1"/>
  <c r="AN7" i="1"/>
  <c r="AL7" i="1"/>
  <c r="AJ7" i="1"/>
  <c r="AI7" i="1"/>
  <c r="L7" i="1"/>
  <c r="AN6" i="1"/>
  <c r="AL6" i="1"/>
  <c r="AJ6" i="1"/>
  <c r="AI6" i="1"/>
  <c r="L6" i="1"/>
  <c r="AN5" i="1"/>
  <c r="AL5" i="1"/>
  <c r="AJ5" i="1"/>
  <c r="AI5" i="1"/>
  <c r="L5" i="1"/>
  <c r="AN4" i="1"/>
  <c r="AL4" i="1"/>
  <c r="AJ4" i="1"/>
  <c r="AI4" i="1"/>
  <c r="L4" i="1"/>
  <c r="AN3" i="1"/>
  <c r="AL3" i="1"/>
  <c r="AJ3" i="1"/>
  <c r="AI3" i="1"/>
  <c r="L3" i="1"/>
  <c r="AN2" i="1"/>
  <c r="AL2" i="1"/>
  <c r="AJ2" i="1"/>
  <c r="AI2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Steckler</author>
    <author>tc={24ACF797-EFBA-472E-B8B4-13D0F97AB623}</author>
  </authors>
  <commentList>
    <comment ref="AG18" authorId="0" shapeId="0" xr:uid="{E4900E9A-BBA8-40C6-9925-72DC3FFA0B62}">
      <text>
        <r>
          <rPr>
            <b/>
            <sz val="9"/>
            <color indexed="81"/>
            <rFont val="Tahoma"/>
            <family val="2"/>
          </rPr>
          <t>Steckler:</t>
        </r>
        <r>
          <rPr>
            <sz val="9"/>
            <color indexed="81"/>
            <rFont val="Tahoma"/>
            <family val="2"/>
          </rPr>
          <t xml:space="preserve">
=PERCENTILE(AE53:AE77,0.95)
=PERCENTILE(AE53:AE77,0.5)</t>
        </r>
      </text>
    </comment>
    <comment ref="A21" authorId="1" shapeId="0" xr:uid="{24ACF797-EFBA-472E-B8B4-13D0F97AB623}">
      <text>
        <t>[הערה משורשרת]
גירסת Excel שברשותך מאפשרת לך לקרוא הערה משורשרת זו; עם זאת, כל שינויי העריכה שיתבצעו בה יוסרו אם הקובץ ייפתח בגירסה חדשה יותר של Excel. למידע נוסף: https://go.microsoft.com/fwlink/?linkid=870924
הערה:
    only 150mg</t>
      </text>
    </comment>
  </commentList>
</comments>
</file>

<file path=xl/sharedStrings.xml><?xml version="1.0" encoding="utf-8"?>
<sst xmlns="http://schemas.openxmlformats.org/spreadsheetml/2006/main" count="2411" uniqueCount="384">
  <si>
    <t>sample_code</t>
  </si>
  <si>
    <t>ADHD</t>
  </si>
  <si>
    <t>age</t>
  </si>
  <si>
    <t>age group</t>
  </si>
  <si>
    <t>sex</t>
  </si>
  <si>
    <t>code</t>
  </si>
  <si>
    <t>group_name</t>
  </si>
  <si>
    <t>high_cm</t>
  </si>
  <si>
    <t>weight_kg</t>
  </si>
  <si>
    <t>bmi</t>
  </si>
  <si>
    <t>bmi_precentage</t>
  </si>
  <si>
    <t>systemic_diseases</t>
  </si>
  <si>
    <t>digestive_system_diseases</t>
  </si>
  <si>
    <t>diabetes</t>
  </si>
  <si>
    <t>other_mental_disorder</t>
  </si>
  <si>
    <t>other_diseases</t>
  </si>
  <si>
    <t>allergies_intolerances</t>
  </si>
  <si>
    <t>antibiotics_probiotics</t>
  </si>
  <si>
    <t>medicines</t>
  </si>
  <si>
    <t>supplements</t>
  </si>
  <si>
    <t>diet</t>
  </si>
  <si>
    <t>acetic_acid</t>
  </si>
  <si>
    <t>propionic_acid</t>
  </si>
  <si>
    <t>isobutyric_acid</t>
  </si>
  <si>
    <t>butyric_acid</t>
  </si>
  <si>
    <t>isovaleric_acid</t>
  </si>
  <si>
    <t>valeric_acid</t>
  </si>
  <si>
    <t>zonulin</t>
  </si>
  <si>
    <t>calprotectin</t>
  </si>
  <si>
    <t>Cp_95th_precentile_by_age</t>
  </si>
  <si>
    <t>Cp_50th_precentile_by_age</t>
  </si>
  <si>
    <t>Cp._prc_vs_95th</t>
  </si>
  <si>
    <t>Cp._prc_vs_50th</t>
  </si>
  <si>
    <t>calprotectin_95th_percentile</t>
  </si>
  <si>
    <t>precents_vs_95th</t>
  </si>
  <si>
    <t>calprotectin_50th_percentile</t>
  </si>
  <si>
    <t>precents_vs_50th</t>
  </si>
  <si>
    <t>Kynurenine</t>
  </si>
  <si>
    <t>DL-4-Hydroxyphenyllactic acid</t>
  </si>
  <si>
    <t>5-Hydroxyindoleacetate</t>
  </si>
  <si>
    <t>Xanthurenic acid</t>
  </si>
  <si>
    <t>verrucomicrobia</t>
  </si>
  <si>
    <t>firmicutes</t>
  </si>
  <si>
    <t>proteobacteria</t>
  </si>
  <si>
    <t>bacteroidetes</t>
  </si>
  <si>
    <t>tm7</t>
  </si>
  <si>
    <t>actinobacteria</t>
  </si>
  <si>
    <t>euryarchaeota</t>
  </si>
  <si>
    <t>tenericutes</t>
  </si>
  <si>
    <t>unassigned_Other</t>
  </si>
  <si>
    <t>cyanobacteria</t>
  </si>
  <si>
    <t>fusobacteria</t>
  </si>
  <si>
    <t>spirochaetes</t>
  </si>
  <si>
    <t>synergistetes</t>
  </si>
  <si>
    <t>genus_level</t>
  </si>
  <si>
    <t>Unassigned;Other;Other;Other;Other;Other</t>
  </si>
  <si>
    <t>k__Archaea;p__Euryarchaeota;c__Methanobacteria;o__Methanobacteriales;f__Methanobacteriaceae;g__Methanobacterium</t>
  </si>
  <si>
    <t>k__Archaea;p__Euryarchaeota;c__Methanobacteria;o__Methanobacteriales;f__Methanobacteriaceae;g__Methanobrevibacter</t>
  </si>
  <si>
    <t>k__Bacteria;p__Actinobacteria;Other;Other;Other;Other</t>
  </si>
  <si>
    <t>k__Bacteria;p__Actinobacteria;c__Actinobacteria;o__Actinomycetales;f__Actinomycetaceae;g__</t>
  </si>
  <si>
    <t>k__Bacteria;p__Actinobacteria;c__Actinobacteria;o__Actinomycetales;f__Actinomycetaceae;g__Actinomyces</t>
  </si>
  <si>
    <t>k__Bacteria;p__Actinobacteria;c__Actinobacteria;o__Actinomycetales;f__Actinomycetaceae;g__Mobiluncus</t>
  </si>
  <si>
    <t>k__Bacteria;p__Actinobacteria;c__Actinobacteria;o__Actinomycetales;f__Actinomycetaceae;g__Varibaculum</t>
  </si>
  <si>
    <t>k__Bacteria;p__Actinobacteria;c__Actinobacteria;o__Actinomycetales;f__Corynebacteriaceae;g__Corynebacterium</t>
  </si>
  <si>
    <t>k__Bacteria;p__Actinobacteria;c__Actinobacteria;o__Actinomycetales;f__Micrococcaceae;g__Rothia</t>
  </si>
  <si>
    <t>k__Bacteria;p__Actinobacteria;c__Actinobacteria;o__Actinomycetales;f__Propionibacteriaceae;g__</t>
  </si>
  <si>
    <t>k__Bacteria;p__Actinobacteria;c__Actinobacteria;o__Bifidobacteriales;f__Bifidobacteriaceae;Other</t>
  </si>
  <si>
    <t>k__Bacteria;p__Actinobacteria;c__Actinobacteria;o__Bifidobacteriales;f__Bifidobacteriaceae;g__Bifidobacterium</t>
  </si>
  <si>
    <t>k__Bacteria;p__Actinobacteria;c__Coriobacteriia;o__Coriobacteriales;f__Coriobacteriaceae;Other</t>
  </si>
  <si>
    <t>k__Bacteria;p__Actinobacteria;c__Coriobacteriia;o__Coriobacteriales;f__Coriobacteriaceae;g__</t>
  </si>
  <si>
    <t>k__Bacteria;p__Actinobacteria;c__Coriobacteriia;o__Coriobacteriales;f__Coriobacteriaceae;g__Adlercreutzia</t>
  </si>
  <si>
    <t>k__Bacteria;p__Actinobacteria;c__Coriobacteriia;o__Coriobacteriales;f__Coriobacteriaceae;g__Collinsella</t>
  </si>
  <si>
    <t>k__Bacteria;p__Actinobacteria;c__Coriobacteriia;o__Coriobacteriales;f__Coriobacteriaceae;g__Eggerthella</t>
  </si>
  <si>
    <t>k__Bacteria;p__Actinobacteria;c__Coriobacteriia;o__Coriobacteriales;f__Coriobacteriaceae;g__Slackia</t>
  </si>
  <si>
    <t>k__Bacteria;p__Bacteroidetes;c__Bacteroidia;o__Bacteroidales;f__;g__</t>
  </si>
  <si>
    <t>k__Bacteria;p__Bacteroidetes;c__Bacteroidia;o__Bacteroidales;f__Bacteroidaceae;g__Bacteroides</t>
  </si>
  <si>
    <t>k__Bacteria;p__Bacteroidetes;c__Bacteroidia;o__Bacteroidales;f__Porphyromonadaceae;g__Parabacteroides</t>
  </si>
  <si>
    <t>k__Bacteria;p__Bacteroidetes;c__Bacteroidia;o__Bacteroidales;f__Porphyromonadaceae;g__Porphyromonas</t>
  </si>
  <si>
    <t>k__Bacteria;p__Bacteroidetes;c__Bacteroidia;o__Bacteroidales;f__Prevotellaceae;g__Prevotella</t>
  </si>
  <si>
    <t>k__Bacteria;p__Bacteroidetes;c__Bacteroidia;o__Bacteroidales;f__RF16;g__</t>
  </si>
  <si>
    <t>k__Bacteria;p__Bacteroidetes;c__Bacteroidia;o__Bacteroidales;f__Rikenellaceae;g__</t>
  </si>
  <si>
    <t>k__Bacteria;p__Bacteroidetes;c__Bacteroidia;o__Bacteroidales;f__S24-7;g__</t>
  </si>
  <si>
    <t>k__Bacteria;p__Bacteroidetes;c__Bacteroidia;o__Bacteroidales;f__[Barnesiellaceae];g__</t>
  </si>
  <si>
    <t>k__Bacteria;p__Bacteroidetes;c__Bacteroidia;o__Bacteroidales;f__[Odoribacteraceae];g__Butyricimonas</t>
  </si>
  <si>
    <t>k__Bacteria;p__Bacteroidetes;c__Bacteroidia;o__Bacteroidales;f__[Odoribacteraceae];g__Odoribacter</t>
  </si>
  <si>
    <t>k__Bacteria;p__Bacteroidetes;c__Bacteroidia;o__Bacteroidales;f__[Paraprevotellaceae];g__Paraprevotella</t>
  </si>
  <si>
    <t>k__Bacteria;p__Bacteroidetes;c__Bacteroidia;o__Bacteroidales;f__[Paraprevotellaceae];g__[Prevotella]</t>
  </si>
  <si>
    <t>k__Bacteria;p__Cyanobacteria;c__4C0d-2;o__YS2;f__;g__</t>
  </si>
  <si>
    <t>k__Bacteria;p__Cyanobacteria;c__Chloroplast;o__Streptophyta;f__;g__</t>
  </si>
  <si>
    <t>k__Bacteria;p__Firmicutes;c__Bacilli;o__Bacillales;f__Bacillaceae;g__Anoxybacillus</t>
  </si>
  <si>
    <t>k__Bacteria;p__Firmicutes;c__Bacilli;o__Bacillales;f__Bacillaceae;g__Bacillus</t>
  </si>
  <si>
    <t>k__Bacteria;p__Firmicutes;c__Bacilli;o__Bacillales;f__Staphylococcaceae;g__Staphylococcus</t>
  </si>
  <si>
    <t>k__Bacteria;p__Firmicutes;c__Bacilli;o__Gemellales;f__Gemellaceae;g__Gemella</t>
  </si>
  <si>
    <t>k__Bacteria;p__Firmicutes;c__Bacilli;o__Lactobacillales;f__;g__</t>
  </si>
  <si>
    <t>k__Bacteria;p__Firmicutes;c__Bacilli;o__Lactobacillales;f__Aerococcaceae;g__</t>
  </si>
  <si>
    <t>k__Bacteria;p__Firmicutes;c__Bacilli;o__Lactobacillales;f__Carnobacteriaceae;g__Carnobacterium</t>
  </si>
  <si>
    <t>k__Bacteria;p__Firmicutes;c__Bacilli;o__Lactobacillales;f__Carnobacteriaceae;g__Granulicatella</t>
  </si>
  <si>
    <t>k__Bacteria;p__Firmicutes;c__Bacilli;o__Lactobacillales;f__Enterococcaceae;g__Enterococcus</t>
  </si>
  <si>
    <t>k__Bacteria;p__Firmicutes;c__Bacilli;o__Lactobacillales;f__Lactobacillaceae;g__</t>
  </si>
  <si>
    <t>k__Bacteria;p__Firmicutes;c__Bacilli;o__Lactobacillales;f__Lactobacillaceae;g__Lactobacillus</t>
  </si>
  <si>
    <t>k__Bacteria;p__Firmicutes;c__Bacilli;o__Lactobacillales;f__Leuconostocaceae;g__</t>
  </si>
  <si>
    <t>k__Bacteria;p__Firmicutes;c__Bacilli;o__Lactobacillales;f__Leuconostocaceae;g__Leuconostoc</t>
  </si>
  <si>
    <t>k__Bacteria;p__Firmicutes;c__Bacilli;o__Lactobacillales;f__Streptococcaceae;g__Lactococcus</t>
  </si>
  <si>
    <t>k__Bacteria;p__Firmicutes;c__Bacilli;o__Lactobacillales;f__Streptococcaceae;g__Streptococcus</t>
  </si>
  <si>
    <t>k__Bacteria;p__Firmicutes;c__Bacilli;o__Turicibacterales;f__Turicibacteraceae;g__Turicibacter</t>
  </si>
  <si>
    <t>k__Bacteria;p__Firmicutes;c__Clostridia;o__Clostridiales;Other;Other</t>
  </si>
  <si>
    <t>k__Bacteria;p__Firmicutes;c__Clostridia;o__Clostridiales;f__;g__</t>
  </si>
  <si>
    <t>k__Bacteria;p__Firmicutes;c__Clostridia;o__Clostridiales;f__Christensenellaceae;g__</t>
  </si>
  <si>
    <t>k__Bacteria;p__Firmicutes;c__Clostridia;o__Clostridiales;f__Clostridiaceae;Other</t>
  </si>
  <si>
    <t>k__Bacteria;p__Firmicutes;c__Clostridia;o__Clostridiales;f__Clostridiaceae;g__</t>
  </si>
  <si>
    <t>k__Bacteria;p__Firmicutes;c__Clostridia;o__Clostridiales;f__Clostridiaceae;g__Clostridium</t>
  </si>
  <si>
    <t>k__Bacteria;p__Firmicutes;c__Clostridia;o__Clostridiales;f__Clostridiaceae;g__Sarcina</t>
  </si>
  <si>
    <t>k__Bacteria;p__Firmicutes;c__Clostridia;o__Clostridiales;f__Dehalobacteriaceae;g__Dehalobacterium</t>
  </si>
  <si>
    <t>k__Bacteria;p__Firmicutes;c__Clostridia;o__Clostridiales;f__Eubacteriaceae;Other</t>
  </si>
  <si>
    <t>k__Bacteria;p__Firmicutes;c__Clostridia;o__Clostridiales;f__Eubacteriaceae;g__Pseudoramibacter_Eubacterium</t>
  </si>
  <si>
    <t>k__Bacteria;p__Firmicutes;c__Clostridia;o__Clostridiales;f__Lachnospiraceae;Other</t>
  </si>
  <si>
    <t>k__Bacteria;p__Firmicutes;c__Clostridia;o__Clostridiales;f__Lachnospiraceae;g__</t>
  </si>
  <si>
    <t>k__Bacteria;p__Firmicutes;c__Clostridia;o__Clostridiales;f__Lachnospiraceae;g__Anaerostipes</t>
  </si>
  <si>
    <t>k__Bacteria;p__Firmicutes;c__Clostridia;o__Clostridiales;f__Lachnospiraceae;g__Blautia</t>
  </si>
  <si>
    <t>k__Bacteria;p__Firmicutes;c__Clostridia;o__Clostridiales;f__Lachnospiraceae;g__Coprococcus</t>
  </si>
  <si>
    <t>k__Bacteria;p__Firmicutes;c__Clostridia;o__Clostridiales;f__Lachnospiraceae;g__Dorea</t>
  </si>
  <si>
    <t>k__Bacteria;p__Firmicutes;c__Clostridia;o__Clostridiales;f__Lachnospiraceae;g__Epulopiscium</t>
  </si>
  <si>
    <t>k__Bacteria;p__Firmicutes;c__Clostridia;o__Clostridiales;f__Lachnospiraceae;g__Lachnobacterium</t>
  </si>
  <si>
    <t>k__Bacteria;p__Firmicutes;c__Clostridia;o__Clostridiales;f__Lachnospiraceae;g__Lachnospira</t>
  </si>
  <si>
    <t>k__Bacteria;p__Firmicutes;c__Clostridia;o__Clostridiales;f__Lachnospiraceae;g__Roseburia</t>
  </si>
  <si>
    <t>k__Bacteria;p__Firmicutes;c__Clostridia;o__Clostridiales;f__Lachnospiraceae;g__[Ruminococcus]</t>
  </si>
  <si>
    <t>k__Bacteria;p__Firmicutes;c__Clostridia;o__Clostridiales;f__Peptococcaceae;g__Peptococcus</t>
  </si>
  <si>
    <t>k__Bacteria;p__Firmicutes;c__Clostridia;o__Clostridiales;f__Peptostreptococcaceae;g__</t>
  </si>
  <si>
    <t>k__Bacteria;p__Firmicutes;c__Clostridia;o__Clostridiales;f__Ruminococcaceae;Other</t>
  </si>
  <si>
    <t>k__Bacteria;p__Firmicutes;c__Clostridia;o__Clostridiales;f__Ruminococcaceae;g__</t>
  </si>
  <si>
    <t>k__Bacteria;p__Firmicutes;c__Clostridia;o__Clostridiales;f__Ruminococcaceae;g__Faecalibacterium</t>
  </si>
  <si>
    <t>k__Bacteria;p__Firmicutes;c__Clostridia;o__Clostridiales;f__Ruminococcaceae;g__Oscillospira</t>
  </si>
  <si>
    <t>k__Bacteria;p__Firmicutes;c__Clostridia;o__Clostridiales;f__Ruminococcaceae;g__Ruminococcus</t>
  </si>
  <si>
    <t>k__Bacteria;p__Firmicutes;c__Clostridia;o__Clostridiales;f__Veillonellaceae;g__Acidaminococcus</t>
  </si>
  <si>
    <t>k__Bacteria;p__Firmicutes;c__Clostridia;o__Clostridiales;f__Veillonellaceae;g__Dialister</t>
  </si>
  <si>
    <t>k__Bacteria;p__Firmicutes;c__Clostridia;o__Clostridiales;f__Veillonellaceae;g__Megamonas</t>
  </si>
  <si>
    <t>k__Bacteria;p__Firmicutes;c__Clostridia;o__Clostridiales;f__Veillonellaceae;g__Megasphaera</t>
  </si>
  <si>
    <t>k__Bacteria;p__Firmicutes;c__Clostridia;o__Clostridiales;f__Veillonellaceae;g__Mitsuokella</t>
  </si>
  <si>
    <t>k__Bacteria;p__Firmicutes;c__Clostridia;o__Clostridiales;f__Veillonellaceae;g__Phascolarctobacterium</t>
  </si>
  <si>
    <t>k__Bacteria;p__Firmicutes;c__Clostridia;o__Clostridiales;f__Veillonellaceae;g__Veillonella</t>
  </si>
  <si>
    <t>k__Bacteria;p__Firmicutes;c__Clostridia;o__Clostridiales;f__[Mogibacteriaceae];Other</t>
  </si>
  <si>
    <t>k__Bacteria;p__Firmicutes;c__Clostridia;o__Clostridiales;f__[Mogibacteriaceae];g__</t>
  </si>
  <si>
    <t>k__Bacteria;p__Firmicutes;c__Clostridia;o__Clostridiales;f__[Tissierellaceae];g__1-68</t>
  </si>
  <si>
    <t>k__Bacteria;p__Firmicutes;c__Clostridia;o__Clostridiales;f__[Tissierellaceae];g__Anaerococcus</t>
  </si>
  <si>
    <t>k__Bacteria;p__Firmicutes;c__Clostridia;o__Clostridiales;f__[Tissierellaceae];g__Finegoldia</t>
  </si>
  <si>
    <t>k__Bacteria;p__Firmicutes;c__Clostridia;o__Clostridiales;f__[Tissierellaceae];g__Parvimonas</t>
  </si>
  <si>
    <t>k__Bacteria;p__Firmicutes;c__Clostridia;o__Clostridiales;f__[Tissierellaceae];g__Peptoniphilus</t>
  </si>
  <si>
    <t>k__Bacteria;p__Firmicutes;c__Clostridia;o__Clostridiales;f__[Tissierellaceae];g__WAL_1855D</t>
  </si>
  <si>
    <t>k__Bacteria;p__Firmicutes;c__Clostridia;o__Clostridiales;f__[Tissierellaceae];g__ph2</t>
  </si>
  <si>
    <t>k__Bacteria;p__Firmicutes;c__Erysipelotrichi;o__Erysipelotrichales;f__Erysipelotrichaceae;Other</t>
  </si>
  <si>
    <t>k__Bacteria;p__Firmicutes;c__Erysipelotrichi;o__Erysipelotrichales;f__Erysipelotrichaceae;g__</t>
  </si>
  <si>
    <t>k__Bacteria;p__Firmicutes;c__Erysipelotrichi;o__Erysipelotrichales;f__Erysipelotrichaceae;g__Allobaculum</t>
  </si>
  <si>
    <t>k__Bacteria;p__Firmicutes;c__Erysipelotrichi;o__Erysipelotrichales;f__Erysipelotrichaceae;g__Bulleidia</t>
  </si>
  <si>
    <t>k__Bacteria;p__Firmicutes;c__Erysipelotrichi;o__Erysipelotrichales;f__Erysipelotrichaceae;g__Catenibacterium</t>
  </si>
  <si>
    <t>k__Bacteria;p__Firmicutes;c__Erysipelotrichi;o__Erysipelotrichales;f__Erysipelotrichaceae;g__Coprobacillus</t>
  </si>
  <si>
    <t>k__Bacteria;p__Firmicutes;c__Erysipelotrichi;o__Erysipelotrichales;f__Erysipelotrichaceae;g__PSB-M-3</t>
  </si>
  <si>
    <t>k__Bacteria;p__Firmicutes;c__Erysipelotrichi;o__Erysipelotrichales;f__Erysipelotrichaceae;g__[Eubacterium]</t>
  </si>
  <si>
    <t>k__Bacteria;p__Fusobacteria;c__Fusobacteriia;o__Fusobacteriales;f__Fusobacteriaceae;g__Fusobacterium</t>
  </si>
  <si>
    <t>k__Bacteria;p__Proteobacteria;c__Alphaproteobacteria;o__RF32;f__;g__</t>
  </si>
  <si>
    <t>k__Bacteria;p__Proteobacteria;c__Alphaproteobacteria;o__Rickettsiales;f__;g__</t>
  </si>
  <si>
    <t>k__Bacteria;p__Proteobacteria;c__Alphaproteobacteria;o__Rickettsiales;f__mitochondria;g__</t>
  </si>
  <si>
    <t>k__Bacteria;p__Proteobacteria;c__Betaproteobacteria;o__Burkholderiales;f__Alcaligenaceae;g__Sutterella</t>
  </si>
  <si>
    <t>k__Bacteria;p__Proteobacteria;c__Betaproteobacteria;o__Burkholderiales;f__Oxalobacteraceae;Other</t>
  </si>
  <si>
    <t>k__Bacteria;p__Proteobacteria;c__Deltaproteobacteria;o__Desulfovibrionales;f__Desulfovibrionaceae;g__Bilophila</t>
  </si>
  <si>
    <t>k__Bacteria;p__Proteobacteria;c__Deltaproteobacteria;o__Desulfovibrionales;f__Desulfovibrionaceae;g__Desulfovibrio</t>
  </si>
  <si>
    <t>k__Bacteria;p__Proteobacteria;c__Epsilonproteobacteria;o__Campylobacterales;f__Helicobacteraceae;g__</t>
  </si>
  <si>
    <t>k__Bacteria;p__Proteobacteria;c__Gammaproteobacteria;o__Enterobacteriales;f__Enterobacteriaceae;g__</t>
  </si>
  <si>
    <t>k__Bacteria;p__Proteobacteria;c__Gammaproteobacteria;o__Enterobacteriales;f__Enterobacteriaceae;g__Klebsiella</t>
  </si>
  <si>
    <t>k__Bacteria;p__Proteobacteria;c__Gammaproteobacteria;o__Legionellales;f__Francisellaceae;g__Francisella</t>
  </si>
  <si>
    <t>k__Bacteria;p__Proteobacteria;c__Gammaproteobacteria;o__Pasteurellales;f__Pasteurellaceae;g__Haemophilus</t>
  </si>
  <si>
    <t>k__Bacteria;p__Proteobacteria;c__Gammaproteobacteria;o__Pseudomonadales;f__Moraxellaceae;g__Acinetobacter</t>
  </si>
  <si>
    <t>k__Bacteria;p__Proteobacteria;c__Gammaproteobacteria;o__Vibrionales;f__Pseudoalteromonadaceae;g__Pseudoalteromonas</t>
  </si>
  <si>
    <t>k__Bacteria;p__Proteobacteria;c__Gammaproteobacteria;o__Vibrionales;f__Vibrionaceae;g__</t>
  </si>
  <si>
    <t>k__Bacteria;p__Proteobacteria;c__Gammaproteobacteria;o__Vibrionales;f__Vibrionaceae;g__Photobacterium</t>
  </si>
  <si>
    <t>g__Vibrio</t>
  </si>
  <si>
    <t>g__Treponema</t>
  </si>
  <si>
    <t>f__Synergistaceae;Other</t>
  </si>
  <si>
    <t>c__TM7-3;o__;f__;g__</t>
  </si>
  <si>
    <t>c__Mollicutes;Other</t>
  </si>
  <si>
    <t>o__RF39;f__;g__</t>
  </si>
  <si>
    <t>g__Akkermansia</t>
  </si>
  <si>
    <t>g__Meiothermus</t>
  </si>
  <si>
    <t>R01</t>
  </si>
  <si>
    <t>[6-11]</t>
  </si>
  <si>
    <t>male</t>
  </si>
  <si>
    <t>1A</t>
  </si>
  <si>
    <t>no</t>
  </si>
  <si>
    <t>R02</t>
  </si>
  <si>
    <t>2A</t>
  </si>
  <si>
    <t>yes</t>
  </si>
  <si>
    <t>Levocetirizini dihydrochloridum, Salbutamolum</t>
  </si>
  <si>
    <t>R03</t>
  </si>
  <si>
    <t>3A</t>
  </si>
  <si>
    <t>witaminy</t>
  </si>
  <si>
    <t>R04</t>
  </si>
  <si>
    <t>[12-18]</t>
  </si>
  <si>
    <t>4A</t>
  </si>
  <si>
    <t>R05</t>
  </si>
  <si>
    <t>5A</t>
  </si>
  <si>
    <t>heart defect</t>
  </si>
  <si>
    <t>inhalant</t>
  </si>
  <si>
    <t>R06</t>
  </si>
  <si>
    <t>6A</t>
  </si>
  <si>
    <t>soemtimes Mg</t>
  </si>
  <si>
    <t>R07</t>
  </si>
  <si>
    <t>7A</t>
  </si>
  <si>
    <t>Rysperydon, Methylphenidati hydrochloridum</t>
  </si>
  <si>
    <t>vit. D</t>
  </si>
  <si>
    <t>easily digestible</t>
  </si>
  <si>
    <t>R08</t>
  </si>
  <si>
    <t>8A</t>
  </si>
  <si>
    <t>Aripiprazolum</t>
  </si>
  <si>
    <t>R09</t>
  </si>
  <si>
    <t>9A</t>
  </si>
  <si>
    <t xml:space="preserve">Rysperydon, Aripiprazolum </t>
  </si>
  <si>
    <t>R10</t>
  </si>
  <si>
    <t>10A</t>
  </si>
  <si>
    <t>Atomoxetinum, Fluoxetinum</t>
  </si>
  <si>
    <t>R11</t>
  </si>
  <si>
    <t>11A</t>
  </si>
  <si>
    <t>Revitaner junior, fish oil, vit. D</t>
  </si>
  <si>
    <t>NA</t>
  </si>
  <si>
    <t>R12</t>
  </si>
  <si>
    <t>12A</t>
  </si>
  <si>
    <t>Bilastinum, Mometasoni furoas</t>
  </si>
  <si>
    <t>n-3, n-6 acids</t>
  </si>
  <si>
    <t>R13</t>
  </si>
  <si>
    <t>13A</t>
  </si>
  <si>
    <t>Rysperydon</t>
  </si>
  <si>
    <t>vit. D + K, echinacea</t>
  </si>
  <si>
    <t>R14</t>
  </si>
  <si>
    <t>14A</t>
  </si>
  <si>
    <t>Methylphenidati hydrochloridum, Rysperydon</t>
  </si>
  <si>
    <t>R15</t>
  </si>
  <si>
    <t>15A</t>
  </si>
  <si>
    <t>Carbamazepinum</t>
  </si>
  <si>
    <t>Mg, Zn, K, n-3</t>
  </si>
  <si>
    <t>R16</t>
  </si>
  <si>
    <t>16A</t>
  </si>
  <si>
    <t>R17</t>
  </si>
  <si>
    <t>17A</t>
  </si>
  <si>
    <t>Fluoxetinum, Methylphenidati hydrochloridum</t>
  </si>
  <si>
    <t>R18</t>
  </si>
  <si>
    <t>female</t>
  </si>
  <si>
    <t>18A</t>
  </si>
  <si>
    <t>Methotrexatum, Acidum Folicum, Vitaminum C</t>
  </si>
  <si>
    <t>R19</t>
  </si>
  <si>
    <t>20A</t>
  </si>
  <si>
    <t>R20</t>
  </si>
  <si>
    <t>21A</t>
  </si>
  <si>
    <t>R21</t>
  </si>
  <si>
    <t>22A</t>
  </si>
  <si>
    <t>R22</t>
  </si>
  <si>
    <t>23A</t>
  </si>
  <si>
    <t>R23</t>
  </si>
  <si>
    <t>24A</t>
  </si>
  <si>
    <t>probiotics 2 days (suspicion of diarrhea)</t>
  </si>
  <si>
    <t>n-3 sometimes</t>
  </si>
  <si>
    <t>R24</t>
  </si>
  <si>
    <t>25A</t>
  </si>
  <si>
    <t>Methylphenidati hydrochloridum</t>
  </si>
  <si>
    <t>R25</t>
  </si>
  <si>
    <t>26A</t>
  </si>
  <si>
    <t>Levothyroxinum natricum</t>
  </si>
  <si>
    <t>vit. D, DHA</t>
  </si>
  <si>
    <t>R26</t>
  </si>
  <si>
    <t>27A</t>
  </si>
  <si>
    <t>R27</t>
  </si>
  <si>
    <t>28A</t>
  </si>
  <si>
    <t>R28</t>
  </si>
  <si>
    <t>29A</t>
  </si>
  <si>
    <t>R29</t>
  </si>
  <si>
    <t>30A</t>
  </si>
  <si>
    <t>R30</t>
  </si>
  <si>
    <t>31A</t>
  </si>
  <si>
    <t>R31</t>
  </si>
  <si>
    <t>32A</t>
  </si>
  <si>
    <t xml:space="preserve">Hydrocorstisonum </t>
  </si>
  <si>
    <t>R32</t>
  </si>
  <si>
    <t>33A</t>
  </si>
  <si>
    <t>R33</t>
  </si>
  <si>
    <t>34A</t>
  </si>
  <si>
    <t>R34</t>
  </si>
  <si>
    <t>35A</t>
  </si>
  <si>
    <t>R35</t>
  </si>
  <si>
    <t>36A</t>
  </si>
  <si>
    <t>R36</t>
  </si>
  <si>
    <t>Control</t>
  </si>
  <si>
    <t>37A</t>
  </si>
  <si>
    <t>CONTROL</t>
  </si>
  <si>
    <t>Somatotropinum</t>
  </si>
  <si>
    <t>R37</t>
  </si>
  <si>
    <t>39A</t>
  </si>
  <si>
    <t>Montelukastum, Desloratadinum</t>
  </si>
  <si>
    <t>vit. C, D</t>
  </si>
  <si>
    <t>R38</t>
  </si>
  <si>
    <t>40A</t>
  </si>
  <si>
    <t>R39</t>
  </si>
  <si>
    <t>41A</t>
  </si>
  <si>
    <t>n-3, vit. C, D, Fe</t>
  </si>
  <si>
    <t>R39.5</t>
  </si>
  <si>
    <t>42A</t>
  </si>
  <si>
    <t>R40</t>
  </si>
  <si>
    <t>36B</t>
  </si>
  <si>
    <t>R41</t>
  </si>
  <si>
    <t>40B</t>
  </si>
  <si>
    <t>R42</t>
  </si>
  <si>
    <t>1B</t>
  </si>
  <si>
    <t>R43</t>
  </si>
  <si>
    <t>2B</t>
  </si>
  <si>
    <t>Cetirizini dihydrochloridum</t>
  </si>
  <si>
    <t>Mg</t>
  </si>
  <si>
    <t>R44</t>
  </si>
  <si>
    <t>6B</t>
  </si>
  <si>
    <t>R45</t>
  </si>
  <si>
    <t>7B</t>
  </si>
  <si>
    <t>R46</t>
  </si>
  <si>
    <t>9B</t>
  </si>
  <si>
    <t>R47</t>
  </si>
  <si>
    <t>10B</t>
  </si>
  <si>
    <t>limited consumption of proteins</t>
  </si>
  <si>
    <t>R47.5</t>
  </si>
  <si>
    <t>11B</t>
  </si>
  <si>
    <t>R48</t>
  </si>
  <si>
    <t>12B</t>
  </si>
  <si>
    <t>R49</t>
  </si>
  <si>
    <t>14B</t>
  </si>
  <si>
    <t>R50</t>
  </si>
  <si>
    <t>15B</t>
  </si>
  <si>
    <t>R51</t>
  </si>
  <si>
    <t>16B</t>
  </si>
  <si>
    <t>Atopic Dermatitis</t>
  </si>
  <si>
    <t>R52</t>
  </si>
  <si>
    <t>17B</t>
  </si>
  <si>
    <t>R53</t>
  </si>
  <si>
    <t>21B</t>
  </si>
  <si>
    <t>R54</t>
  </si>
  <si>
    <t>22B</t>
  </si>
  <si>
    <t>R55</t>
  </si>
  <si>
    <t>23B</t>
  </si>
  <si>
    <t>R56</t>
  </si>
  <si>
    <t>24B</t>
  </si>
  <si>
    <t>vit. D+K, echinacea</t>
  </si>
  <si>
    <t>R57</t>
  </si>
  <si>
    <t>25B</t>
  </si>
  <si>
    <t>R58</t>
  </si>
  <si>
    <t>26B</t>
  </si>
  <si>
    <t>R59</t>
  </si>
  <si>
    <t>27B</t>
  </si>
  <si>
    <t>R60</t>
  </si>
  <si>
    <t>29B</t>
  </si>
  <si>
    <t xml:space="preserve">Rysperydon </t>
  </si>
  <si>
    <t>R61</t>
  </si>
  <si>
    <t>30B</t>
  </si>
  <si>
    <t>R62</t>
  </si>
  <si>
    <t>31B</t>
  </si>
  <si>
    <t>R63</t>
  </si>
  <si>
    <t>32B</t>
  </si>
  <si>
    <t>R64</t>
  </si>
  <si>
    <t>33B</t>
  </si>
  <si>
    <t>R65</t>
  </si>
  <si>
    <t>34B</t>
  </si>
  <si>
    <t>vegetarian</t>
  </si>
  <si>
    <t>R66</t>
  </si>
  <si>
    <t>35B</t>
  </si>
  <si>
    <t>R67</t>
  </si>
  <si>
    <t>37B</t>
  </si>
  <si>
    <t>R68</t>
  </si>
  <si>
    <t>39B</t>
  </si>
  <si>
    <t>fisf oil</t>
  </si>
  <si>
    <t>R69</t>
  </si>
  <si>
    <t>41B</t>
  </si>
  <si>
    <t>R70</t>
  </si>
  <si>
    <t>42B</t>
  </si>
  <si>
    <t>R71</t>
  </si>
  <si>
    <t>19A</t>
  </si>
  <si>
    <t>Aripiprazolum, Rysperydon</t>
  </si>
  <si>
    <t>R72</t>
  </si>
  <si>
    <t>38A</t>
  </si>
  <si>
    <t xml:space="preserve">	Natrii valproas</t>
  </si>
  <si>
    <t>R73</t>
  </si>
  <si>
    <t>43B</t>
  </si>
  <si>
    <t>R74</t>
  </si>
  <si>
    <t>44B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</si>
</sst>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;[Red]0.0"/>
    <numFmt numFmtId="166" formatCode="0.0E+00"/>
  </numFmts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Segoe UI"/>
      <family val="2"/>
    </font>
    <font>
      <b/>
      <sz val="9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  <charset val="238"/>
    </font>
    <font>
      <b/>
      <sz val="11"/>
      <color rgb="FF000000"/>
      <name val="Calibri"/>
      <family val="2"/>
    </font>
    <font>
      <sz val="11"/>
      <color theme="1"/>
      <name val="Segoe UI"/>
      <family val="2"/>
    </font>
    <font>
      <sz val="9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charset val="238"/>
      <scheme val="minor"/>
    </font>
    <font>
      <sz val="9"/>
      <color rgb="FFFF0000"/>
      <name val="Arial"/>
      <family val="2"/>
      <charset val="238"/>
    </font>
    <font>
      <sz val="10"/>
      <color rgb="FFFF0000"/>
      <name val="Arial"/>
      <family val="2"/>
    </font>
    <font>
      <b/>
      <sz val="9"/>
      <color rgb="FFFF0000"/>
      <name val="Arial"/>
      <family val="2"/>
      <charset val="238"/>
    </font>
    <font>
      <sz val="10"/>
      <color theme="0" tint="-0.499984740745262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</font>
  </fonts>
  <fills count="11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 wrapText="1"/>
    </xf>
    <xf numFmtId="0" fontId="0" fillId="2" borderId="3" xfId="0" applyFill="1" applyBorder="1" applyAlignment="1">
      <alignment vertical="center"/>
    </xf>
    <xf numFmtId="0" fontId="3" fillId="2" borderId="3" xfId="0" applyFont="1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 wrapText="1"/>
    </xf>
    <xf numFmtId="164" fontId="4" fillId="4" borderId="2" xfId="0" applyNumberFormat="1" applyFont="1" applyFill="1" applyBorder="1" applyAlignment="1">
      <alignment horizontal="left" vertical="center" wrapText="1"/>
    </xf>
    <xf numFmtId="164" fontId="4" fillId="4" borderId="2" xfId="0" applyNumberFormat="1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164" fontId="4" fillId="4" borderId="4" xfId="0" applyNumberFormat="1" applyFont="1" applyFill="1" applyBorder="1" applyAlignment="1">
      <alignment vertical="center" wrapText="1"/>
    </xf>
    <xf numFmtId="164" fontId="4" fillId="4" borderId="5" xfId="0" applyNumberFormat="1" applyFont="1" applyFill="1" applyBorder="1" applyAlignment="1">
      <alignment vertical="center" wrapText="1"/>
    </xf>
    <xf numFmtId="0" fontId="5" fillId="6" borderId="0" xfId="0" applyFon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5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wrapText="1"/>
    </xf>
    <xf numFmtId="0" fontId="7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1" fontId="3" fillId="0" borderId="3" xfId="0" applyNumberFormat="1" applyFont="1" applyBorder="1" applyAlignment="1">
      <alignment horizontal="center" wrapText="1"/>
    </xf>
    <xf numFmtId="0" fontId="3" fillId="9" borderId="3" xfId="0" applyFont="1" applyFill="1" applyBorder="1" applyAlignment="1">
      <alignment wrapText="1"/>
    </xf>
    <xf numFmtId="0" fontId="3" fillId="0" borderId="3" xfId="0" applyFont="1" applyBorder="1" applyAlignment="1">
      <alignment horizontal="right" wrapText="1"/>
    </xf>
    <xf numFmtId="2" fontId="3" fillId="0" borderId="3" xfId="0" applyNumberFormat="1" applyFont="1" applyBorder="1" applyAlignment="1">
      <alignment horizont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3" xfId="0" applyBorder="1"/>
    <xf numFmtId="0" fontId="0" fillId="9" borderId="3" xfId="0" applyFill="1" applyBorder="1"/>
    <xf numFmtId="164" fontId="9" fillId="0" borderId="3" xfId="0" applyNumberFormat="1" applyFont="1" applyBorder="1" applyAlignment="1">
      <alignment horizontal="center"/>
    </xf>
    <xf numFmtId="0" fontId="8" fillId="5" borderId="3" xfId="0" applyFont="1" applyFill="1" applyBorder="1" applyAlignment="1">
      <alignment horizontal="center" wrapText="1"/>
    </xf>
    <xf numFmtId="164" fontId="8" fillId="5" borderId="3" xfId="0" applyNumberFormat="1" applyFont="1" applyFill="1" applyBorder="1" applyAlignment="1">
      <alignment horizontal="center" wrapText="1"/>
    </xf>
    <xf numFmtId="165" fontId="9" fillId="0" borderId="3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165" fontId="9" fillId="0" borderId="8" xfId="0" applyNumberFormat="1" applyFont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0" fontId="10" fillId="7" borderId="0" xfId="0" applyFont="1" applyFill="1"/>
    <xf numFmtId="11" fontId="10" fillId="0" borderId="0" xfId="0" applyNumberFormat="1" applyFont="1" applyAlignment="1">
      <alignment horizontal="center"/>
    </xf>
    <xf numFmtId="2" fontId="10" fillId="7" borderId="0" xfId="0" applyNumberFormat="1" applyFont="1" applyFill="1" applyAlignment="1">
      <alignment horizontal="center"/>
    </xf>
    <xf numFmtId="166" fontId="0" fillId="0" borderId="0" xfId="0" applyNumberFormat="1"/>
    <xf numFmtId="0" fontId="10" fillId="0" borderId="0" xfId="0" applyFont="1"/>
    <xf numFmtId="164" fontId="11" fillId="0" borderId="3" xfId="0" applyNumberFormat="1" applyFont="1" applyBorder="1" applyAlignment="1">
      <alignment horizontal="center"/>
    </xf>
    <xf numFmtId="0" fontId="0" fillId="7" borderId="0" xfId="0" applyFill="1"/>
    <xf numFmtId="11" fontId="0" fillId="0" borderId="0" xfId="0" applyNumberFormat="1" applyAlignment="1">
      <alignment horizontal="center"/>
    </xf>
    <xf numFmtId="2" fontId="0" fillId="7" borderId="0" xfId="0" applyNumberFormat="1" applyFill="1" applyAlignment="1">
      <alignment horizontal="center"/>
    </xf>
    <xf numFmtId="164" fontId="9" fillId="10" borderId="3" xfId="0" applyNumberFormat="1" applyFont="1" applyFill="1" applyBorder="1" applyAlignment="1">
      <alignment horizontal="center"/>
    </xf>
    <xf numFmtId="0" fontId="3" fillId="0" borderId="3" xfId="0" applyFont="1" applyBorder="1" applyAlignment="1">
      <alignment wrapText="1"/>
    </xf>
    <xf numFmtId="0" fontId="12" fillId="9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2" fontId="12" fillId="0" borderId="3" xfId="0" applyNumberFormat="1" applyFont="1" applyBorder="1" applyAlignment="1">
      <alignment horizontal="center" wrapText="1"/>
    </xf>
    <xf numFmtId="0" fontId="12" fillId="0" borderId="3" xfId="0" applyFont="1" applyBorder="1" applyAlignment="1">
      <alignment horizontal="center" vertical="center" wrapText="1"/>
    </xf>
    <xf numFmtId="164" fontId="13" fillId="0" borderId="3" xfId="0" applyNumberFormat="1" applyFont="1" applyBorder="1" applyAlignment="1">
      <alignment horizontal="center"/>
    </xf>
    <xf numFmtId="165" fontId="8" fillId="0" borderId="3" xfId="0" applyNumberFormat="1" applyFont="1" applyBorder="1" applyAlignment="1">
      <alignment horizontal="center"/>
    </xf>
    <xf numFmtId="164" fontId="7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2" fontId="9" fillId="0" borderId="8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0" fontId="12" fillId="0" borderId="3" xfId="0" applyFont="1" applyBorder="1" applyAlignment="1">
      <alignment wrapText="1"/>
    </xf>
    <xf numFmtId="0" fontId="14" fillId="9" borderId="3" xfId="0" applyFont="1" applyFill="1" applyBorder="1" applyAlignment="1">
      <alignment wrapText="1"/>
    </xf>
    <xf numFmtId="0" fontId="14" fillId="0" borderId="3" xfId="0" applyFont="1" applyBorder="1" applyAlignment="1">
      <alignment horizontal="right" wrapText="1"/>
    </xf>
    <xf numFmtId="2" fontId="14" fillId="0" borderId="3" xfId="0" applyNumberFormat="1" applyFont="1" applyBorder="1" applyAlignment="1">
      <alignment horizontal="center" wrapText="1"/>
    </xf>
    <xf numFmtId="0" fontId="14" fillId="0" borderId="3" xfId="0" applyFont="1" applyBorder="1" applyAlignment="1">
      <alignment horizontal="center" vertical="center" wrapText="1"/>
    </xf>
    <xf numFmtId="0" fontId="10" fillId="0" borderId="3" xfId="0" applyFont="1" applyBorder="1"/>
    <xf numFmtId="1" fontId="3" fillId="0" borderId="9" xfId="0" applyNumberFormat="1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פייגה מגזל" id="{7FCAB5AF-597E-4D9A-9318-E17D7A9D5BFA}" userId="S::faigamag@telhai.ac.il::606e09aa-3ef0-434d-8cb1-b45533264b41" providerId="AD"/>
</personList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1" dT="2021-11-17T16:46:55.62" personId="{7FCAB5AF-597E-4D9A-9318-E17D7A9D5BFA}" id="{24ACF797-EFBA-472E-B8B4-13D0F97AB623}">
    <text>only 150mg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32A19-04DF-4A82-9246-2A9ED0AF31BC}">
  <dimension ref="A1:GD158"/>
  <sheetViews>
    <sheetView tabSelected="1" zoomScale="70" zoomScaleNormal="70" workbookViewId="0">
      <selection activeCell="EW1" sqref="EW1"/>
    </sheetView>
  </sheetViews>
  <sheetFormatPr defaultRowHeight="15" x14ac:dyDescent="0.25"/>
  <cols>
    <col min="1" max="5" width="9.140625" customWidth="1"/>
    <col min="6" max="6" width="8.7109375" customWidth="1"/>
    <col min="7" max="7" width="16.5703125" customWidth="1"/>
    <col min="8" max="10" width="9.140625" customWidth="1"/>
    <col min="11" max="11" width="11" customWidth="1"/>
    <col min="12" max="12" width="11.5703125" customWidth="1"/>
    <col min="13" max="13" width="18.140625" style="71" customWidth="1"/>
    <col min="14" max="17" width="8.7109375" hidden="1" customWidth="1"/>
    <col min="18" max="18" width="11.85546875" hidden="1" customWidth="1"/>
    <col min="19" max="19" width="14.140625" hidden="1" customWidth="1"/>
    <col min="20" max="20" width="27.85546875" hidden="1" customWidth="1"/>
    <col min="21" max="21" width="46.7109375" hidden="1" customWidth="1"/>
    <col min="22" max="22" width="22.7109375" hidden="1" customWidth="1"/>
    <col min="23" max="23" width="20.7109375" hidden="1" customWidth="1"/>
    <col min="24" max="29" width="8.7109375" hidden="1" customWidth="1"/>
    <col min="30" max="30" width="9.140625" customWidth="1"/>
    <col min="31" max="31" width="11.42578125" customWidth="1"/>
    <col min="32" max="32" width="9.140625" customWidth="1"/>
    <col min="33" max="33" width="15.85546875" bestFit="1" customWidth="1"/>
    <col min="34" max="34" width="15.5703125" customWidth="1"/>
    <col min="35" max="36" width="11.42578125" bestFit="1" customWidth="1"/>
    <col min="37" max="37" width="15.140625" customWidth="1"/>
    <col min="38" max="38" width="9.140625" customWidth="1"/>
    <col min="39" max="39" width="16" customWidth="1"/>
    <col min="40" max="40" width="15.42578125" customWidth="1"/>
    <col min="41" max="41" width="16" customWidth="1"/>
    <col min="42" max="42" width="28.140625" bestFit="1" customWidth="1"/>
    <col min="43" max="43" width="20.42578125" customWidth="1"/>
    <col min="44" max="44" width="15.85546875" style="69" bestFit="1" customWidth="1"/>
    <col min="45" max="45" width="2.5703125" style="46" customWidth="1"/>
    <col min="46" max="46" width="16.85546875" style="69" bestFit="1" customWidth="1"/>
    <col min="47" max="47" width="11.28515625" style="69" bestFit="1" customWidth="1"/>
    <col min="48" max="48" width="15.28515625" style="69" bestFit="1" customWidth="1"/>
    <col min="49" max="49" width="14.7109375" style="69" bestFit="1" customWidth="1"/>
    <col min="50" max="50" width="8.42578125" style="69" bestFit="1" customWidth="1"/>
    <col min="51" max="51" width="15.140625" style="69" bestFit="1" customWidth="1"/>
    <col min="52" max="52" width="14.85546875" style="69" bestFit="1" customWidth="1"/>
    <col min="53" max="53" width="12.42578125" style="69" bestFit="1" customWidth="1"/>
    <col min="54" max="54" width="18.5703125" style="69" bestFit="1" customWidth="1"/>
    <col min="55" max="55" width="14.85546875" style="69" bestFit="1" customWidth="1"/>
    <col min="56" max="57" width="16.28515625" style="69" customWidth="1"/>
    <col min="58" max="58" width="14.140625" style="69" bestFit="1" customWidth="1"/>
    <col min="59" max="59" width="11.42578125" style="70" customWidth="1"/>
    <col min="60" max="99" width="23.5703125" customWidth="1"/>
    <col min="100" max="100" width="37.85546875" customWidth="1"/>
    <col min="101" max="129" width="23.5703125" customWidth="1"/>
    <col min="130" max="130" width="89.85546875" customWidth="1"/>
    <col min="131" max="132" width="23.5703125" customWidth="1"/>
    <col min="133" max="133" width="75" customWidth="1"/>
    <col min="134" max="134" width="76.42578125" customWidth="1"/>
    <col min="135" max="135" width="88.5703125" customWidth="1"/>
    <col min="136" max="136" width="93.140625" customWidth="1"/>
    <col min="137" max="137" width="138.7109375" customWidth="1"/>
    <col min="138" max="138" width="112" customWidth="1"/>
    <col min="139" max="139" width="100.85546875" customWidth="1"/>
    <col min="140" max="140" width="138" customWidth="1"/>
    <col min="141" max="141" width="116.28515625" customWidth="1"/>
    <col min="142" max="142" width="106" customWidth="1"/>
    <col min="143" max="143" width="99.42578125" customWidth="1"/>
    <col min="144" max="144" width="131.28515625" customWidth="1"/>
    <col min="145" max="145" width="102.140625" customWidth="1"/>
    <col min="146" max="146" width="137.85546875" customWidth="1"/>
    <col min="147" max="147" width="95.5703125" customWidth="1"/>
    <col min="148" max="148" width="157.7109375" customWidth="1"/>
    <col min="149" max="149" width="99.42578125" customWidth="1"/>
    <col min="150" max="150" width="126.85546875" customWidth="1"/>
    <col min="151" max="151" width="108.28515625" customWidth="1"/>
    <col min="152" max="152" width="107.85546875" customWidth="1"/>
    <col min="153" max="153" width="118.28515625" customWidth="1"/>
    <col min="154" max="186" width="23.5703125" customWidth="1"/>
  </cols>
  <sheetData>
    <row r="1" spans="1:186" s="20" customFormat="1" ht="5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4</v>
      </c>
      <c r="I1" s="7" t="s">
        <v>2</v>
      </c>
      <c r="J1" s="7" t="s">
        <v>7</v>
      </c>
      <c r="K1" s="6" t="s">
        <v>8</v>
      </c>
      <c r="L1" s="6" t="s">
        <v>9</v>
      </c>
      <c r="M1" s="8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9" t="s">
        <v>21</v>
      </c>
      <c r="Y1" s="9" t="s">
        <v>22</v>
      </c>
      <c r="Z1" s="9" t="s">
        <v>23</v>
      </c>
      <c r="AA1" s="9" t="s">
        <v>24</v>
      </c>
      <c r="AB1" s="9" t="s">
        <v>25</v>
      </c>
      <c r="AC1" s="9" t="s">
        <v>26</v>
      </c>
      <c r="AD1" s="10" t="s">
        <v>27</v>
      </c>
      <c r="AE1" s="11" t="s">
        <v>28</v>
      </c>
      <c r="AF1" s="3" t="s">
        <v>3</v>
      </c>
      <c r="AG1" s="12" t="s">
        <v>29</v>
      </c>
      <c r="AH1" s="12" t="s">
        <v>30</v>
      </c>
      <c r="AI1" s="12" t="s">
        <v>31</v>
      </c>
      <c r="AJ1" s="12" t="s">
        <v>32</v>
      </c>
      <c r="AK1" s="13" t="s">
        <v>33</v>
      </c>
      <c r="AL1" s="13" t="s">
        <v>34</v>
      </c>
      <c r="AM1" s="13" t="s">
        <v>35</v>
      </c>
      <c r="AN1" s="14" t="s">
        <v>36</v>
      </c>
      <c r="AO1" s="15" t="s">
        <v>37</v>
      </c>
      <c r="AP1" s="15" t="s">
        <v>38</v>
      </c>
      <c r="AQ1" s="15" t="s">
        <v>39</v>
      </c>
      <c r="AR1" s="15" t="s">
        <v>40</v>
      </c>
      <c r="AS1" s="16"/>
      <c r="AT1" s="17" t="s">
        <v>41</v>
      </c>
      <c r="AU1" s="17" t="s">
        <v>42</v>
      </c>
      <c r="AV1" s="17" t="s">
        <v>43</v>
      </c>
      <c r="AW1" s="17" t="s">
        <v>44</v>
      </c>
      <c r="AX1" s="17" t="s">
        <v>45</v>
      </c>
      <c r="AY1" s="17" t="s">
        <v>46</v>
      </c>
      <c r="AZ1" s="17" t="s">
        <v>47</v>
      </c>
      <c r="BA1" s="17" t="s">
        <v>48</v>
      </c>
      <c r="BB1" s="17" t="s">
        <v>49</v>
      </c>
      <c r="BC1" s="17" t="s">
        <v>50</v>
      </c>
      <c r="BD1" s="17" t="s">
        <v>51</v>
      </c>
      <c r="BE1" s="17" t="s">
        <v>52</v>
      </c>
      <c r="BF1" s="17" t="s">
        <v>53</v>
      </c>
      <c r="BG1" s="18" t="s">
        <v>54</v>
      </c>
      <c r="BH1" s="19" t="s">
        <v>55</v>
      </c>
      <c r="BI1" s="19" t="s">
        <v>56</v>
      </c>
      <c r="BJ1" s="19" t="s">
        <v>57</v>
      </c>
      <c r="BK1" s="19" t="s">
        <v>58</v>
      </c>
      <c r="BL1" s="19" t="s">
        <v>59</v>
      </c>
      <c r="BM1" s="19" t="s">
        <v>60</v>
      </c>
      <c r="BN1" s="19" t="s">
        <v>61</v>
      </c>
      <c r="BO1" s="19" t="s">
        <v>62</v>
      </c>
      <c r="BP1" s="19" t="s">
        <v>63</v>
      </c>
      <c r="BQ1" s="19" t="s">
        <v>64</v>
      </c>
      <c r="BR1" s="19" t="s">
        <v>65</v>
      </c>
      <c r="BS1" s="19" t="s">
        <v>66</v>
      </c>
      <c r="BT1" s="19" t="s">
        <v>67</v>
      </c>
      <c r="BU1" s="19" t="s">
        <v>68</v>
      </c>
      <c r="BV1" s="19" t="s">
        <v>69</v>
      </c>
      <c r="BW1" s="19" t="s">
        <v>70</v>
      </c>
      <c r="BX1" s="19" t="s">
        <v>71</v>
      </c>
      <c r="BY1" s="19" t="s">
        <v>72</v>
      </c>
      <c r="BZ1" s="19" t="s">
        <v>73</v>
      </c>
      <c r="CA1" s="19" t="s">
        <v>74</v>
      </c>
      <c r="CB1" s="19" t="s">
        <v>75</v>
      </c>
      <c r="CC1" s="19" t="s">
        <v>76</v>
      </c>
      <c r="CD1" s="19" t="s">
        <v>77</v>
      </c>
      <c r="CE1" s="19" t="s">
        <v>78</v>
      </c>
      <c r="CF1" s="19" t="s">
        <v>79</v>
      </c>
      <c r="CG1" s="19" t="s">
        <v>80</v>
      </c>
      <c r="CH1" s="19" t="s">
        <v>81</v>
      </c>
      <c r="CI1" s="19" t="s">
        <v>82</v>
      </c>
      <c r="CJ1" s="19" t="s">
        <v>83</v>
      </c>
      <c r="CK1" s="19" t="s">
        <v>84</v>
      </c>
      <c r="CL1" s="19" t="s">
        <v>85</v>
      </c>
      <c r="CM1" s="19" t="s">
        <v>86</v>
      </c>
      <c r="CN1" s="19" t="s">
        <v>87</v>
      </c>
      <c r="CO1" s="19" t="s">
        <v>88</v>
      </c>
      <c r="CP1" s="19" t="s">
        <v>89</v>
      </c>
      <c r="CQ1" s="19" t="s">
        <v>90</v>
      </c>
      <c r="CR1" s="19" t="s">
        <v>91</v>
      </c>
      <c r="CS1" s="19" t="s">
        <v>92</v>
      </c>
      <c r="CT1" s="19" t="s">
        <v>93</v>
      </c>
      <c r="CU1" s="19" t="s">
        <v>94</v>
      </c>
      <c r="CV1" s="19" t="s">
        <v>95</v>
      </c>
      <c r="CW1" s="19" t="s">
        <v>96</v>
      </c>
      <c r="CX1" s="19" t="s">
        <v>97</v>
      </c>
      <c r="CY1" s="19" t="s">
        <v>98</v>
      </c>
      <c r="CZ1" s="19" t="s">
        <v>99</v>
      </c>
      <c r="DA1" s="19" t="s">
        <v>100</v>
      </c>
      <c r="DB1" s="19" t="s">
        <v>101</v>
      </c>
      <c r="DC1" s="19" t="s">
        <v>102</v>
      </c>
      <c r="DD1" s="19" t="s">
        <v>103</v>
      </c>
      <c r="DE1" s="19" t="s">
        <v>104</v>
      </c>
      <c r="DF1" s="19" t="s">
        <v>105</v>
      </c>
      <c r="DG1" s="19" t="s">
        <v>106</v>
      </c>
      <c r="DH1" s="19" t="s">
        <v>107</v>
      </c>
      <c r="DI1" s="19" t="s">
        <v>108</v>
      </c>
      <c r="DJ1" s="19" t="s">
        <v>109</v>
      </c>
      <c r="DK1" s="19" t="s">
        <v>110</v>
      </c>
      <c r="DL1" s="19" t="s">
        <v>111</v>
      </c>
      <c r="DM1" s="19" t="s">
        <v>112</v>
      </c>
      <c r="DN1" s="19" t="s">
        <v>113</v>
      </c>
      <c r="DO1" s="19" t="s">
        <v>114</v>
      </c>
      <c r="DP1" s="19" t="s">
        <v>115</v>
      </c>
      <c r="DQ1" s="19" t="s">
        <v>116</v>
      </c>
      <c r="DR1" s="19" t="s">
        <v>117</v>
      </c>
      <c r="DS1" s="19" t="s">
        <v>118</v>
      </c>
      <c r="DT1" s="19" t="s">
        <v>119</v>
      </c>
      <c r="DU1" s="19" t="s">
        <v>120</v>
      </c>
      <c r="DV1" s="19" t="s">
        <v>121</v>
      </c>
      <c r="DW1" s="19" t="s">
        <v>122</v>
      </c>
      <c r="DX1" s="19" t="s">
        <v>123</v>
      </c>
      <c r="DY1" s="19" t="s">
        <v>124</v>
      </c>
      <c r="DZ1" s="19" t="s">
        <v>125</v>
      </c>
      <c r="EA1" s="19" t="s">
        <v>126</v>
      </c>
      <c r="EB1" s="19" t="s">
        <v>127</v>
      </c>
      <c r="EC1" s="19" t="s">
        <v>128</v>
      </c>
      <c r="ED1" s="19" t="s">
        <v>129</v>
      </c>
      <c r="EE1" s="19" t="s">
        <v>130</v>
      </c>
      <c r="EF1" s="19" t="s">
        <v>131</v>
      </c>
      <c r="EG1" s="19" t="s">
        <v>132</v>
      </c>
      <c r="EH1" s="19" t="s">
        <v>133</v>
      </c>
      <c r="EI1" s="19" t="s">
        <v>134</v>
      </c>
      <c r="EJ1" s="19" t="s">
        <v>135</v>
      </c>
      <c r="EK1" s="19" t="s">
        <v>136</v>
      </c>
      <c r="EL1" s="19" t="s">
        <v>137</v>
      </c>
      <c r="EM1" s="19" t="s">
        <v>138</v>
      </c>
      <c r="EN1" s="19" t="s">
        <v>139</v>
      </c>
      <c r="EO1" s="19" t="s">
        <v>140</v>
      </c>
      <c r="EP1" s="19" t="s">
        <v>141</v>
      </c>
      <c r="EQ1" s="19" t="s">
        <v>142</v>
      </c>
      <c r="ER1" s="19" t="s">
        <v>143</v>
      </c>
      <c r="ES1" s="19" t="s">
        <v>144</v>
      </c>
      <c r="ET1" s="19" t="s">
        <v>145</v>
      </c>
      <c r="EU1" s="19" t="s">
        <v>146</v>
      </c>
      <c r="EV1" s="19" t="s">
        <v>147</v>
      </c>
      <c r="EW1" s="19" t="s">
        <v>148</v>
      </c>
      <c r="EX1" s="19" t="s">
        <v>149</v>
      </c>
      <c r="EY1" s="19" t="s">
        <v>150</v>
      </c>
      <c r="EZ1" s="19" t="s">
        <v>151</v>
      </c>
      <c r="FA1" s="19" t="s">
        <v>152</v>
      </c>
      <c r="FB1" s="19" t="s">
        <v>153</v>
      </c>
      <c r="FC1" s="19" t="s">
        <v>154</v>
      </c>
      <c r="FD1" s="19" t="s">
        <v>155</v>
      </c>
      <c r="FE1" s="19" t="s">
        <v>156</v>
      </c>
      <c r="FF1" s="19" t="s">
        <v>157</v>
      </c>
      <c r="FG1" s="19" t="s">
        <v>158</v>
      </c>
      <c r="FH1" s="19" t="s">
        <v>159</v>
      </c>
      <c r="FI1" s="19" t="s">
        <v>160</v>
      </c>
      <c r="FJ1" s="19" t="s">
        <v>161</v>
      </c>
      <c r="FK1" s="19" t="s">
        <v>162</v>
      </c>
      <c r="FL1" s="19" t="s">
        <v>163</v>
      </c>
      <c r="FM1" s="19" t="s">
        <v>164</v>
      </c>
      <c r="FN1" s="19" t="s">
        <v>165</v>
      </c>
      <c r="FO1" s="19" t="s">
        <v>166</v>
      </c>
      <c r="FP1" s="19" t="s">
        <v>167</v>
      </c>
      <c r="FQ1" s="19" t="s">
        <v>168</v>
      </c>
      <c r="FR1" s="19" t="s">
        <v>169</v>
      </c>
      <c r="FS1" s="19" t="s">
        <v>170</v>
      </c>
      <c r="FT1" s="19" t="s">
        <v>171</v>
      </c>
      <c r="FU1" s="19" t="s">
        <v>172</v>
      </c>
      <c r="FV1" s="19" t="s">
        <v>173</v>
      </c>
      <c r="FW1" s="19" t="s">
        <v>174</v>
      </c>
      <c r="FX1" s="19" t="s">
        <v>175</v>
      </c>
      <c r="FY1" s="19" t="s">
        <v>176</v>
      </c>
      <c r="FZ1" s="19" t="s">
        <v>177</v>
      </c>
      <c r="GA1" s="19" t="s">
        <v>178</v>
      </c>
      <c r="GB1" s="19" t="s">
        <v>179</v>
      </c>
      <c r="GC1" s="19" t="s">
        <v>180</v>
      </c>
      <c r="GD1" s="19" t="s">
        <v>181</v>
      </c>
    </row>
    <row r="2" spans="1:186" s="44" customFormat="1" ht="14.1" customHeight="1" x14ac:dyDescent="0.3">
      <c r="A2" s="21" t="s">
        <v>182</v>
      </c>
      <c r="B2" s="22" t="s">
        <v>1</v>
      </c>
      <c r="C2" s="23">
        <v>6.5</v>
      </c>
      <c r="D2" s="23" t="s">
        <v>183</v>
      </c>
      <c r="E2" s="24" t="s">
        <v>184</v>
      </c>
      <c r="F2" s="25" t="s">
        <v>185</v>
      </c>
      <c r="G2" s="26" t="s">
        <v>1</v>
      </c>
      <c r="H2" s="26" t="s">
        <v>184</v>
      </c>
      <c r="I2" s="27">
        <v>6.5</v>
      </c>
      <c r="J2" s="27">
        <v>120</v>
      </c>
      <c r="K2" s="27">
        <v>21</v>
      </c>
      <c r="L2" s="28">
        <f t="shared" ref="L2:L26" si="0">K2/(J2/100)^2</f>
        <v>14.583333333333334</v>
      </c>
      <c r="M2" s="29">
        <v>24</v>
      </c>
      <c r="N2" s="30" t="s">
        <v>186</v>
      </c>
      <c r="O2" s="30" t="s">
        <v>186</v>
      </c>
      <c r="P2" s="30" t="s">
        <v>186</v>
      </c>
      <c r="Q2" s="30" t="s">
        <v>186</v>
      </c>
      <c r="R2" s="30" t="s">
        <v>186</v>
      </c>
      <c r="S2" s="31" t="s">
        <v>186</v>
      </c>
      <c r="T2" s="30" t="s">
        <v>186</v>
      </c>
      <c r="U2" s="30" t="s">
        <v>186</v>
      </c>
      <c r="V2" s="30" t="s">
        <v>186</v>
      </c>
      <c r="W2" s="30" t="s">
        <v>186</v>
      </c>
      <c r="X2" s="25">
        <v>1220.2193238357165</v>
      </c>
      <c r="Y2" s="25">
        <v>770.33178130250155</v>
      </c>
      <c r="Z2" s="25">
        <v>526.27260740957297</v>
      </c>
      <c r="AA2" s="25">
        <v>2480.6549940269147</v>
      </c>
      <c r="AB2" s="25">
        <v>487.37652167755385</v>
      </c>
      <c r="AC2" s="25">
        <v>80.448244197579612</v>
      </c>
      <c r="AD2" s="32">
        <v>638.54999999999995</v>
      </c>
      <c r="AE2" s="32">
        <v>39.822499999999998</v>
      </c>
      <c r="AF2" s="23" t="s">
        <v>183</v>
      </c>
      <c r="AG2" s="33">
        <v>160.1</v>
      </c>
      <c r="AH2" s="33">
        <v>18.2</v>
      </c>
      <c r="AI2" s="34">
        <f t="shared" ref="AI2:AI11" si="1">AE2/AG2*100</f>
        <v>24.873516552154904</v>
      </c>
      <c r="AJ2" s="34">
        <f t="shared" ref="AJ2:AJ11" si="2">AE2/AH2*100</f>
        <v>218.80494505494505</v>
      </c>
      <c r="AK2" s="35">
        <v>160.1</v>
      </c>
      <c r="AL2" s="36">
        <f t="shared" ref="AL2:AL11" si="3">(AE2/AK2)*100</f>
        <v>24.873516552154904</v>
      </c>
      <c r="AM2" s="37">
        <v>18.2</v>
      </c>
      <c r="AN2" s="38">
        <f t="shared" ref="AN2:AN11" si="4">(AE2/AM2)*100</f>
        <v>218.80494505494505</v>
      </c>
      <c r="AO2" s="39">
        <v>4788462.1852431102</v>
      </c>
      <c r="AP2" s="39">
        <v>25097655.702072602</v>
      </c>
      <c r="AQ2" s="39">
        <v>3003335.4289163598</v>
      </c>
      <c r="AR2" s="39">
        <v>51260185.806762502</v>
      </c>
      <c r="AS2" s="40"/>
      <c r="AT2" s="41">
        <v>0</v>
      </c>
      <c r="AU2" s="41">
        <v>0.56053962900499998</v>
      </c>
      <c r="AV2" s="41">
        <v>5.0590219224299997E-4</v>
      </c>
      <c r="AW2" s="41">
        <v>0.14266441821199999</v>
      </c>
      <c r="AX2" s="41">
        <v>2.6981450252999998E-3</v>
      </c>
      <c r="AY2" s="41">
        <v>0.27689713322100001</v>
      </c>
      <c r="AZ2" s="41">
        <v>0</v>
      </c>
      <c r="BA2" s="41">
        <v>0</v>
      </c>
      <c r="BB2" s="41">
        <v>3.37268128162E-4</v>
      </c>
      <c r="BC2" s="41">
        <v>1.6357504215900001E-2</v>
      </c>
      <c r="BD2" s="41">
        <v>0</v>
      </c>
      <c r="BE2" s="41">
        <v>0</v>
      </c>
      <c r="BF2" s="41">
        <v>0</v>
      </c>
      <c r="BG2" s="42"/>
      <c r="BH2" s="43">
        <v>3.37268128162E-4</v>
      </c>
      <c r="BI2" s="43">
        <v>0</v>
      </c>
      <c r="BJ2" s="43">
        <v>0</v>
      </c>
      <c r="BK2" s="43">
        <v>0</v>
      </c>
      <c r="BL2" s="43">
        <v>0</v>
      </c>
      <c r="BM2" s="43">
        <v>3.0354131534600002E-3</v>
      </c>
      <c r="BN2" s="43">
        <v>0</v>
      </c>
      <c r="BO2" s="43">
        <v>0</v>
      </c>
      <c r="BP2" s="43">
        <v>0</v>
      </c>
      <c r="BQ2" s="43">
        <v>0</v>
      </c>
      <c r="BR2" s="43">
        <v>0</v>
      </c>
      <c r="BS2" s="43">
        <v>0</v>
      </c>
      <c r="BT2" s="43">
        <v>1.6694772343999999E-2</v>
      </c>
      <c r="BU2" s="43">
        <v>0</v>
      </c>
      <c r="BV2" s="43">
        <v>2.9679595278200001E-2</v>
      </c>
      <c r="BW2" s="43">
        <v>9.4435075885299993E-3</v>
      </c>
      <c r="BX2" s="43">
        <v>0.21804384485700001</v>
      </c>
      <c r="BY2" s="43">
        <v>0</v>
      </c>
      <c r="BZ2" s="43">
        <v>0</v>
      </c>
      <c r="CA2" s="43">
        <v>0</v>
      </c>
      <c r="CB2" s="43">
        <v>6.5767284991600002E-3</v>
      </c>
      <c r="CC2" s="43">
        <v>6.3069139966299995E-2</v>
      </c>
      <c r="CD2" s="43">
        <v>0</v>
      </c>
      <c r="CE2" s="43">
        <v>1.60202360877E-2</v>
      </c>
      <c r="CF2" s="43">
        <v>0</v>
      </c>
      <c r="CG2" s="43">
        <v>1.7369308600300001E-2</v>
      </c>
      <c r="CH2" s="43">
        <v>0</v>
      </c>
      <c r="CI2" s="43">
        <v>3.9629005059000001E-2</v>
      </c>
      <c r="CJ2" s="43">
        <v>0</v>
      </c>
      <c r="CK2" s="43">
        <v>0</v>
      </c>
      <c r="CL2" s="43">
        <v>0</v>
      </c>
      <c r="CM2" s="43">
        <v>0</v>
      </c>
      <c r="CN2" s="43">
        <v>0</v>
      </c>
      <c r="CO2" s="43">
        <v>1.6357504215900001E-2</v>
      </c>
      <c r="CP2" s="43">
        <v>0</v>
      </c>
      <c r="CQ2" s="43">
        <v>0</v>
      </c>
      <c r="CR2" s="43">
        <v>0</v>
      </c>
      <c r="CS2" s="43">
        <v>1.01180438449E-3</v>
      </c>
      <c r="CT2" s="43">
        <v>0</v>
      </c>
      <c r="CU2" s="43">
        <v>0</v>
      </c>
      <c r="CV2" s="43">
        <v>0</v>
      </c>
      <c r="CW2" s="43">
        <v>2.0236087689700002E-3</v>
      </c>
      <c r="CX2" s="43">
        <v>0</v>
      </c>
      <c r="CY2" s="43">
        <v>0</v>
      </c>
      <c r="CZ2" s="43">
        <v>0</v>
      </c>
      <c r="DA2" s="43">
        <v>0</v>
      </c>
      <c r="DB2" s="43">
        <v>0</v>
      </c>
      <c r="DC2" s="43">
        <v>0</v>
      </c>
      <c r="DD2" s="43">
        <v>4.4856661045499999E-2</v>
      </c>
      <c r="DE2" s="43">
        <v>2.95109612142E-2</v>
      </c>
      <c r="DF2" s="43">
        <v>0</v>
      </c>
      <c r="DG2" s="43">
        <v>9.2748735244500002E-3</v>
      </c>
      <c r="DH2" s="43">
        <v>2.5295109612100001E-3</v>
      </c>
      <c r="DI2" s="43">
        <v>0</v>
      </c>
      <c r="DJ2" s="43">
        <v>0</v>
      </c>
      <c r="DK2" s="43">
        <v>0</v>
      </c>
      <c r="DL2" s="43">
        <v>0</v>
      </c>
      <c r="DM2" s="43">
        <v>3.37268128162E-4</v>
      </c>
      <c r="DN2" s="43">
        <v>0</v>
      </c>
      <c r="DO2" s="43">
        <v>1.01180438449E-3</v>
      </c>
      <c r="DP2" s="43">
        <v>0</v>
      </c>
      <c r="DQ2" s="43">
        <v>0.15902192242800001</v>
      </c>
      <c r="DR2" s="43">
        <v>0</v>
      </c>
      <c r="DS2" s="43">
        <v>3.3726812816199998E-2</v>
      </c>
      <c r="DT2" s="43">
        <v>0</v>
      </c>
      <c r="DU2" s="43">
        <v>0</v>
      </c>
      <c r="DV2" s="43">
        <v>0</v>
      </c>
      <c r="DW2" s="43">
        <v>0</v>
      </c>
      <c r="DX2" s="43">
        <v>0</v>
      </c>
      <c r="DY2" s="43">
        <v>0</v>
      </c>
      <c r="DZ2" s="43">
        <v>1.01180438449E-3</v>
      </c>
      <c r="EA2" s="43">
        <v>0</v>
      </c>
      <c r="EB2" s="43">
        <v>0</v>
      </c>
      <c r="EC2" s="43">
        <v>0</v>
      </c>
      <c r="ED2" s="43">
        <v>0.25514333895399999</v>
      </c>
      <c r="EE2" s="43">
        <v>3.37268128162E-4</v>
      </c>
      <c r="EF2" s="43">
        <v>2.3608768971300001E-3</v>
      </c>
      <c r="EG2" s="43">
        <v>6.0708263069099997E-3</v>
      </c>
      <c r="EH2" s="43">
        <v>0</v>
      </c>
      <c r="EI2" s="43">
        <v>0</v>
      </c>
      <c r="EJ2" s="43">
        <v>0</v>
      </c>
      <c r="EK2" s="43">
        <v>0</v>
      </c>
      <c r="EL2" s="43">
        <v>0</v>
      </c>
      <c r="EM2" s="43">
        <v>1.3490725126499999E-3</v>
      </c>
      <c r="EN2" s="43">
        <v>0</v>
      </c>
      <c r="EO2" s="43">
        <v>0</v>
      </c>
      <c r="EP2" s="43">
        <v>8.0944350758899997E-3</v>
      </c>
      <c r="EQ2" s="43">
        <v>0</v>
      </c>
      <c r="ER2" s="43">
        <v>0</v>
      </c>
      <c r="ES2" s="43">
        <v>0</v>
      </c>
      <c r="ET2" s="43">
        <v>0</v>
      </c>
      <c r="EU2" s="43">
        <v>0</v>
      </c>
      <c r="EV2" s="43">
        <v>0</v>
      </c>
      <c r="EW2" s="43">
        <v>0</v>
      </c>
      <c r="EX2" s="43">
        <v>0</v>
      </c>
      <c r="EY2" s="43">
        <v>0</v>
      </c>
      <c r="EZ2" s="43">
        <v>0</v>
      </c>
      <c r="FA2" s="43">
        <v>0</v>
      </c>
      <c r="FB2" s="43">
        <v>0</v>
      </c>
      <c r="FC2" s="43">
        <v>0</v>
      </c>
      <c r="FD2" s="43">
        <v>6.74536256324E-4</v>
      </c>
      <c r="FE2" s="43">
        <v>2.1922428330500001E-3</v>
      </c>
      <c r="FF2" s="43">
        <v>0</v>
      </c>
      <c r="FG2" s="43">
        <v>0</v>
      </c>
      <c r="FH2" s="43">
        <v>0</v>
      </c>
      <c r="FI2" s="43">
        <v>5.0590219224299997E-4</v>
      </c>
      <c r="FJ2" s="43">
        <v>0</v>
      </c>
      <c r="FK2" s="43">
        <v>0</v>
      </c>
      <c r="FL2" s="43">
        <v>0</v>
      </c>
      <c r="FM2" s="43">
        <v>0</v>
      </c>
      <c r="FN2" s="43">
        <v>0</v>
      </c>
      <c r="FO2" s="43">
        <v>0</v>
      </c>
      <c r="FP2" s="43">
        <v>0</v>
      </c>
      <c r="FQ2" s="43">
        <v>0</v>
      </c>
      <c r="FR2" s="43">
        <v>0</v>
      </c>
      <c r="FS2" s="43">
        <v>0</v>
      </c>
      <c r="FT2" s="43">
        <v>0</v>
      </c>
      <c r="FU2" s="43">
        <v>0</v>
      </c>
      <c r="FV2" s="43">
        <v>0</v>
      </c>
      <c r="FW2" s="43">
        <v>0</v>
      </c>
      <c r="FX2" s="43">
        <v>0</v>
      </c>
      <c r="FY2" s="43">
        <v>0</v>
      </c>
      <c r="FZ2" s="43">
        <v>2.6981450252999998E-3</v>
      </c>
      <c r="GA2" s="43">
        <v>0</v>
      </c>
      <c r="GB2" s="43">
        <v>0</v>
      </c>
      <c r="GC2" s="43">
        <v>0</v>
      </c>
      <c r="GD2" s="43">
        <v>0</v>
      </c>
    </row>
    <row r="3" spans="1:186" ht="16.5" x14ac:dyDescent="0.3">
      <c r="A3" s="21" t="s">
        <v>187</v>
      </c>
      <c r="B3" s="22" t="s">
        <v>1</v>
      </c>
      <c r="C3" s="23">
        <v>11</v>
      </c>
      <c r="D3" s="23" t="s">
        <v>183</v>
      </c>
      <c r="E3" s="24" t="s">
        <v>184</v>
      </c>
      <c r="F3" s="25" t="s">
        <v>188</v>
      </c>
      <c r="G3" s="26" t="s">
        <v>1</v>
      </c>
      <c r="H3" s="26" t="s">
        <v>184</v>
      </c>
      <c r="I3" s="27">
        <v>11</v>
      </c>
      <c r="J3" s="27">
        <v>150</v>
      </c>
      <c r="K3" s="27">
        <v>36</v>
      </c>
      <c r="L3" s="28">
        <f t="shared" si="0"/>
        <v>16</v>
      </c>
      <c r="M3" s="29">
        <v>26</v>
      </c>
      <c r="N3" s="30" t="s">
        <v>186</v>
      </c>
      <c r="O3" s="30" t="s">
        <v>186</v>
      </c>
      <c r="P3" s="30" t="s">
        <v>186</v>
      </c>
      <c r="Q3" s="30" t="s">
        <v>186</v>
      </c>
      <c r="R3" s="30" t="s">
        <v>186</v>
      </c>
      <c r="S3" s="31" t="s">
        <v>189</v>
      </c>
      <c r="T3" s="30" t="s">
        <v>186</v>
      </c>
      <c r="U3" s="30" t="s">
        <v>190</v>
      </c>
      <c r="V3" s="30" t="s">
        <v>186</v>
      </c>
      <c r="W3" s="30" t="s">
        <v>186</v>
      </c>
      <c r="X3" s="25">
        <v>1292.4060789087671</v>
      </c>
      <c r="Y3" s="25">
        <v>699.42906113793356</v>
      </c>
      <c r="Z3" s="25">
        <v>604.76614474643998</v>
      </c>
      <c r="AA3" s="25">
        <v>2453.1593199262152</v>
      </c>
      <c r="AB3" s="25">
        <v>560.7549030891339</v>
      </c>
      <c r="AC3" s="25">
        <v>805.45990756061303</v>
      </c>
      <c r="AD3" s="45">
        <v>800</v>
      </c>
      <c r="AE3" s="32">
        <v>29.71</v>
      </c>
      <c r="AF3" s="23" t="s">
        <v>183</v>
      </c>
      <c r="AG3" s="33">
        <v>66.2</v>
      </c>
      <c r="AH3" s="33">
        <v>14.7</v>
      </c>
      <c r="AI3" s="34">
        <f t="shared" si="1"/>
        <v>44.879154078549846</v>
      </c>
      <c r="AJ3" s="34">
        <f t="shared" si="2"/>
        <v>202.108843537415</v>
      </c>
      <c r="AK3" s="35">
        <v>66.2</v>
      </c>
      <c r="AL3" s="36">
        <f t="shared" si="3"/>
        <v>44.879154078549846</v>
      </c>
      <c r="AM3" s="37">
        <v>14.7</v>
      </c>
      <c r="AN3" s="38">
        <f t="shared" si="4"/>
        <v>202.108843537415</v>
      </c>
      <c r="AO3" s="39">
        <v>2277809.0048367698</v>
      </c>
      <c r="AP3" s="39">
        <v>10642235.5469929</v>
      </c>
      <c r="AQ3" s="39">
        <v>15782587.951732401</v>
      </c>
      <c r="AR3" s="39">
        <v>40318708.377050102</v>
      </c>
      <c r="AT3" s="47">
        <v>4.7217537942699998E-2</v>
      </c>
      <c r="AU3" s="47">
        <v>0.59932546374399998</v>
      </c>
      <c r="AV3" s="47">
        <v>1.68634064081E-4</v>
      </c>
      <c r="AW3" s="47">
        <v>1.4333895446900001E-2</v>
      </c>
      <c r="AX3" s="47">
        <v>0</v>
      </c>
      <c r="AY3" s="47">
        <v>0.33878583473899998</v>
      </c>
      <c r="AZ3" s="47">
        <v>0</v>
      </c>
      <c r="BA3" s="47">
        <v>0</v>
      </c>
      <c r="BB3" s="47">
        <v>1.68634064081E-4</v>
      </c>
      <c r="BC3" s="47">
        <v>0</v>
      </c>
      <c r="BD3" s="47">
        <v>0</v>
      </c>
      <c r="BE3" s="47">
        <v>0</v>
      </c>
      <c r="BF3" s="47">
        <v>0</v>
      </c>
      <c r="BG3" s="48"/>
      <c r="BH3" s="43">
        <v>1.68634064081E-4</v>
      </c>
      <c r="BI3" s="43">
        <v>0</v>
      </c>
      <c r="BJ3" s="43">
        <v>0</v>
      </c>
      <c r="BK3" s="43">
        <v>0</v>
      </c>
      <c r="BL3" s="43">
        <v>0</v>
      </c>
      <c r="BM3" s="43">
        <v>0</v>
      </c>
      <c r="BN3" s="43">
        <v>0</v>
      </c>
      <c r="BO3" s="43">
        <v>0</v>
      </c>
      <c r="BP3" s="43">
        <v>0</v>
      </c>
      <c r="BQ3" s="43">
        <v>0</v>
      </c>
      <c r="BR3" s="43">
        <v>0</v>
      </c>
      <c r="BS3" s="43">
        <v>0</v>
      </c>
      <c r="BT3" s="43">
        <v>0.23170320404700001</v>
      </c>
      <c r="BU3" s="43">
        <v>0</v>
      </c>
      <c r="BV3" s="43">
        <v>0</v>
      </c>
      <c r="BW3" s="43">
        <v>8.7689713322099995E-3</v>
      </c>
      <c r="BX3" s="43">
        <v>7.9595278246199996E-2</v>
      </c>
      <c r="BY3" s="43">
        <v>1.8718381113000001E-2</v>
      </c>
      <c r="BZ3" s="43">
        <v>0</v>
      </c>
      <c r="CA3" s="43">
        <v>0</v>
      </c>
      <c r="CB3" s="43">
        <v>9.2748735244500002E-3</v>
      </c>
      <c r="CC3" s="43">
        <v>0</v>
      </c>
      <c r="CD3" s="43">
        <v>0</v>
      </c>
      <c r="CE3" s="43">
        <v>0</v>
      </c>
      <c r="CF3" s="43">
        <v>0</v>
      </c>
      <c r="CG3" s="43">
        <v>5.0590219224299999E-3</v>
      </c>
      <c r="CH3" s="43">
        <v>0</v>
      </c>
      <c r="CI3" s="43">
        <v>0</v>
      </c>
      <c r="CJ3" s="43">
        <v>0</v>
      </c>
      <c r="CK3" s="43">
        <v>0</v>
      </c>
      <c r="CL3" s="43">
        <v>0</v>
      </c>
      <c r="CM3" s="43">
        <v>0</v>
      </c>
      <c r="CN3" s="43">
        <v>0</v>
      </c>
      <c r="CO3" s="43">
        <v>0</v>
      </c>
      <c r="CP3" s="43">
        <v>0</v>
      </c>
      <c r="CQ3" s="43">
        <v>0</v>
      </c>
      <c r="CR3" s="43">
        <v>0</v>
      </c>
      <c r="CS3" s="43">
        <v>0</v>
      </c>
      <c r="CT3" s="43">
        <v>0</v>
      </c>
      <c r="CU3" s="43">
        <v>0</v>
      </c>
      <c r="CV3" s="43">
        <v>0</v>
      </c>
      <c r="CW3" s="43">
        <v>0</v>
      </c>
      <c r="CX3" s="43">
        <v>0</v>
      </c>
      <c r="CY3" s="43">
        <v>0</v>
      </c>
      <c r="CZ3" s="43">
        <v>0</v>
      </c>
      <c r="DA3" s="43">
        <v>0</v>
      </c>
      <c r="DB3" s="43">
        <v>0</v>
      </c>
      <c r="DC3" s="43">
        <v>0</v>
      </c>
      <c r="DD3" s="43">
        <v>2.1247892074200001E-2</v>
      </c>
      <c r="DE3" s="43">
        <v>0</v>
      </c>
      <c r="DF3" s="43">
        <v>0</v>
      </c>
      <c r="DG3" s="43">
        <v>5.5649241146699998E-3</v>
      </c>
      <c r="DH3" s="43">
        <v>0</v>
      </c>
      <c r="DI3" s="43">
        <v>0</v>
      </c>
      <c r="DJ3" s="43">
        <v>0</v>
      </c>
      <c r="DK3" s="43">
        <v>0</v>
      </c>
      <c r="DL3" s="43">
        <v>0</v>
      </c>
      <c r="DM3" s="43">
        <v>0</v>
      </c>
      <c r="DN3" s="43">
        <v>0</v>
      </c>
      <c r="DO3" s="43">
        <v>0</v>
      </c>
      <c r="DP3" s="43">
        <v>2.3608768971300001E-3</v>
      </c>
      <c r="DQ3" s="43">
        <v>0.20337268128200001</v>
      </c>
      <c r="DR3" s="43">
        <v>0</v>
      </c>
      <c r="DS3" s="43">
        <v>0.12698145025300001</v>
      </c>
      <c r="DT3" s="43">
        <v>6.4080944350800003E-3</v>
      </c>
      <c r="DU3" s="43">
        <v>6.74536256324E-4</v>
      </c>
      <c r="DV3" s="43">
        <v>0</v>
      </c>
      <c r="DW3" s="43">
        <v>0</v>
      </c>
      <c r="DX3" s="43">
        <v>1.85497470489E-3</v>
      </c>
      <c r="DY3" s="43">
        <v>0</v>
      </c>
      <c r="DZ3" s="43">
        <v>4.2158516020200003E-3</v>
      </c>
      <c r="EA3" s="43">
        <v>0</v>
      </c>
      <c r="EB3" s="43">
        <v>0</v>
      </c>
      <c r="EC3" s="43">
        <v>2.1922428330500001E-3</v>
      </c>
      <c r="ED3" s="43">
        <v>8.3979763912299998E-2</v>
      </c>
      <c r="EE3" s="43">
        <v>3.67622259696E-2</v>
      </c>
      <c r="EF3" s="43">
        <v>1.0118043844900001E-2</v>
      </c>
      <c r="EG3" s="43">
        <v>1.4502529510999999E-2</v>
      </c>
      <c r="EH3" s="43">
        <v>0</v>
      </c>
      <c r="EI3" s="43">
        <v>0</v>
      </c>
      <c r="EJ3" s="43">
        <v>0</v>
      </c>
      <c r="EK3" s="43">
        <v>0</v>
      </c>
      <c r="EL3" s="43">
        <v>0</v>
      </c>
      <c r="EM3" s="43">
        <v>0</v>
      </c>
      <c r="EN3" s="43">
        <v>0</v>
      </c>
      <c r="EO3" s="43">
        <v>0</v>
      </c>
      <c r="EP3" s="43">
        <v>5.2276559865099999E-3</v>
      </c>
      <c r="EQ3" s="43">
        <v>0</v>
      </c>
      <c r="ER3" s="43">
        <v>6.74536256324E-4</v>
      </c>
      <c r="ES3" s="43">
        <v>0</v>
      </c>
      <c r="ET3" s="43">
        <v>0</v>
      </c>
      <c r="EU3" s="43">
        <v>0</v>
      </c>
      <c r="EV3" s="43">
        <v>0</v>
      </c>
      <c r="EW3" s="43">
        <v>0</v>
      </c>
      <c r="EX3" s="43">
        <v>6.2394603709899996E-3</v>
      </c>
      <c r="EY3" s="43">
        <v>6.6104553119699996E-2</v>
      </c>
      <c r="EZ3" s="43">
        <v>0</v>
      </c>
      <c r="FA3" s="43">
        <v>0</v>
      </c>
      <c r="FB3" s="43">
        <v>0</v>
      </c>
      <c r="FC3" s="43">
        <v>0</v>
      </c>
      <c r="FD3" s="43">
        <v>0</v>
      </c>
      <c r="FE3" s="43">
        <v>8.4317032040500002E-4</v>
      </c>
      <c r="FF3" s="43">
        <v>0</v>
      </c>
      <c r="FG3" s="43">
        <v>0</v>
      </c>
      <c r="FH3" s="43">
        <v>0</v>
      </c>
      <c r="FI3" s="43">
        <v>0</v>
      </c>
      <c r="FJ3" s="43">
        <v>0</v>
      </c>
      <c r="FK3" s="43">
        <v>0</v>
      </c>
      <c r="FL3" s="43">
        <v>0</v>
      </c>
      <c r="FM3" s="43">
        <v>0</v>
      </c>
      <c r="FN3" s="43">
        <v>0</v>
      </c>
      <c r="FO3" s="43">
        <v>1.68634064081E-4</v>
      </c>
      <c r="FP3" s="43">
        <v>0</v>
      </c>
      <c r="FQ3" s="43">
        <v>0</v>
      </c>
      <c r="FR3" s="43">
        <v>0</v>
      </c>
      <c r="FS3" s="43">
        <v>0</v>
      </c>
      <c r="FT3" s="43">
        <v>0</v>
      </c>
      <c r="FU3" s="43">
        <v>0</v>
      </c>
      <c r="FV3" s="43">
        <v>0</v>
      </c>
      <c r="FW3" s="43">
        <v>0</v>
      </c>
      <c r="FX3" s="43">
        <v>0</v>
      </c>
      <c r="FY3" s="43">
        <v>0</v>
      </c>
      <c r="FZ3" s="43">
        <v>0</v>
      </c>
      <c r="GA3" s="43">
        <v>0</v>
      </c>
      <c r="GB3" s="43">
        <v>0</v>
      </c>
      <c r="GC3" s="43">
        <v>4.7217537942699998E-2</v>
      </c>
      <c r="GD3" s="43">
        <v>0</v>
      </c>
    </row>
    <row r="4" spans="1:186" ht="16.5" x14ac:dyDescent="0.3">
      <c r="A4" s="21" t="s">
        <v>191</v>
      </c>
      <c r="B4" s="22" t="s">
        <v>1</v>
      </c>
      <c r="C4" s="23">
        <v>11</v>
      </c>
      <c r="D4" s="23" t="s">
        <v>183</v>
      </c>
      <c r="E4" s="24" t="s">
        <v>184</v>
      </c>
      <c r="F4" s="25" t="s">
        <v>192</v>
      </c>
      <c r="G4" s="26" t="s">
        <v>1</v>
      </c>
      <c r="H4" s="26" t="s">
        <v>184</v>
      </c>
      <c r="I4" s="27">
        <v>11</v>
      </c>
      <c r="J4" s="27">
        <v>150</v>
      </c>
      <c r="K4" s="27">
        <v>35</v>
      </c>
      <c r="L4" s="28">
        <f t="shared" si="0"/>
        <v>15.555555555555555</v>
      </c>
      <c r="M4" s="29">
        <v>18</v>
      </c>
      <c r="N4" s="30" t="s">
        <v>186</v>
      </c>
      <c r="O4" s="30" t="s">
        <v>186</v>
      </c>
      <c r="P4" s="30" t="s">
        <v>186</v>
      </c>
      <c r="Q4" s="30" t="s">
        <v>186</v>
      </c>
      <c r="R4" s="30" t="s">
        <v>186</v>
      </c>
      <c r="S4" s="31" t="s">
        <v>186</v>
      </c>
      <c r="T4" s="30" t="s">
        <v>186</v>
      </c>
      <c r="U4" s="30" t="s">
        <v>186</v>
      </c>
      <c r="V4" s="30" t="s">
        <v>193</v>
      </c>
      <c r="W4" s="30" t="s">
        <v>186</v>
      </c>
      <c r="X4" s="25">
        <v>3512.7096569545997</v>
      </c>
      <c r="Y4" s="25">
        <v>560.77614300806385</v>
      </c>
      <c r="Z4" s="25">
        <v>314.93863418728324</v>
      </c>
      <c r="AA4" s="25">
        <v>1504.0011245871137</v>
      </c>
      <c r="AB4" s="25">
        <v>309.78563799020446</v>
      </c>
      <c r="AC4" s="25">
        <v>404.50967917226455</v>
      </c>
      <c r="AD4" s="32">
        <v>245.05</v>
      </c>
      <c r="AE4" s="32">
        <v>11.125</v>
      </c>
      <c r="AF4" s="23" t="s">
        <v>183</v>
      </c>
      <c r="AG4" s="33">
        <v>66.2</v>
      </c>
      <c r="AH4" s="33">
        <v>14.7</v>
      </c>
      <c r="AI4" s="34">
        <f t="shared" si="1"/>
        <v>16.805135951661633</v>
      </c>
      <c r="AJ4" s="34">
        <f t="shared" si="2"/>
        <v>75.680272108843539</v>
      </c>
      <c r="AK4" s="35">
        <v>66.2</v>
      </c>
      <c r="AL4" s="36">
        <f t="shared" si="3"/>
        <v>16.805135951661633</v>
      </c>
      <c r="AM4" s="37">
        <v>14.7</v>
      </c>
      <c r="AN4" s="38">
        <f t="shared" si="4"/>
        <v>75.680272108843539</v>
      </c>
      <c r="AO4" s="39">
        <v>3906522.78421485</v>
      </c>
      <c r="AP4" s="39">
        <v>78200700.763827398</v>
      </c>
      <c r="AQ4" s="39">
        <v>4698462.9734704299</v>
      </c>
      <c r="AR4" s="39">
        <v>47206129.645737499</v>
      </c>
      <c r="AT4" s="47">
        <v>3.3726812816199998E-2</v>
      </c>
      <c r="AU4" s="47">
        <v>0.53794266441799998</v>
      </c>
      <c r="AV4" s="47">
        <v>0</v>
      </c>
      <c r="AW4" s="47">
        <v>6.74536256324E-4</v>
      </c>
      <c r="AX4" s="47">
        <v>0</v>
      </c>
      <c r="AY4" s="47">
        <v>0.42664418212499999</v>
      </c>
      <c r="AZ4" s="47">
        <v>0</v>
      </c>
      <c r="BA4" s="47">
        <v>5.0590219224299997E-4</v>
      </c>
      <c r="BB4" s="47">
        <v>5.0590219224299997E-4</v>
      </c>
      <c r="BC4" s="47">
        <v>0</v>
      </c>
      <c r="BD4" s="47">
        <v>0</v>
      </c>
      <c r="BE4" s="47">
        <v>0</v>
      </c>
      <c r="BF4" s="47">
        <v>0</v>
      </c>
      <c r="BG4" s="48"/>
      <c r="BH4" s="43">
        <v>5.0590219224299997E-4</v>
      </c>
      <c r="BI4" s="43">
        <v>0</v>
      </c>
      <c r="BJ4" s="43">
        <v>0</v>
      </c>
      <c r="BK4" s="43">
        <v>0</v>
      </c>
      <c r="BL4" s="43">
        <v>0</v>
      </c>
      <c r="BM4" s="43">
        <v>0</v>
      </c>
      <c r="BN4" s="43">
        <v>0</v>
      </c>
      <c r="BO4" s="43">
        <v>0</v>
      </c>
      <c r="BP4" s="43">
        <v>0</v>
      </c>
      <c r="BQ4" s="43">
        <v>0</v>
      </c>
      <c r="BR4" s="43">
        <v>0</v>
      </c>
      <c r="BS4" s="43">
        <v>0</v>
      </c>
      <c r="BT4" s="43">
        <v>0.40404721753799999</v>
      </c>
      <c r="BU4" s="43">
        <v>0</v>
      </c>
      <c r="BV4" s="43">
        <v>1.21416526138E-2</v>
      </c>
      <c r="BW4" s="43">
        <v>3.5413153457000001E-3</v>
      </c>
      <c r="BX4" s="43">
        <v>6.9139966273200001E-3</v>
      </c>
      <c r="BY4" s="43">
        <v>0</v>
      </c>
      <c r="BZ4" s="43">
        <v>0</v>
      </c>
      <c r="CA4" s="43">
        <v>0</v>
      </c>
      <c r="CB4" s="43">
        <v>3.37268128162E-4</v>
      </c>
      <c r="CC4" s="43">
        <v>0</v>
      </c>
      <c r="CD4" s="43">
        <v>0</v>
      </c>
      <c r="CE4" s="43">
        <v>0</v>
      </c>
      <c r="CF4" s="43">
        <v>0</v>
      </c>
      <c r="CG4" s="43">
        <v>3.37268128162E-4</v>
      </c>
      <c r="CH4" s="43">
        <v>0</v>
      </c>
      <c r="CI4" s="43">
        <v>0</v>
      </c>
      <c r="CJ4" s="43">
        <v>0</v>
      </c>
      <c r="CK4" s="43">
        <v>0</v>
      </c>
      <c r="CL4" s="43">
        <v>0</v>
      </c>
      <c r="CM4" s="43">
        <v>0</v>
      </c>
      <c r="CN4" s="43">
        <v>0</v>
      </c>
      <c r="CO4" s="43">
        <v>0</v>
      </c>
      <c r="CP4" s="43">
        <v>0</v>
      </c>
      <c r="CQ4" s="43">
        <v>0</v>
      </c>
      <c r="CR4" s="43">
        <v>0</v>
      </c>
      <c r="CS4" s="43">
        <v>8.4317032040500002E-4</v>
      </c>
      <c r="CT4" s="43">
        <v>0</v>
      </c>
      <c r="CU4" s="43">
        <v>0</v>
      </c>
      <c r="CV4" s="43">
        <v>0</v>
      </c>
      <c r="CW4" s="43">
        <v>0</v>
      </c>
      <c r="CX4" s="43">
        <v>0</v>
      </c>
      <c r="CY4" s="43">
        <v>0</v>
      </c>
      <c r="CZ4" s="43">
        <v>0</v>
      </c>
      <c r="DA4" s="43">
        <v>0</v>
      </c>
      <c r="DB4" s="43">
        <v>3.3726812816200001E-3</v>
      </c>
      <c r="DC4" s="43">
        <v>8.6003372681300004E-3</v>
      </c>
      <c r="DD4" s="43">
        <v>0</v>
      </c>
      <c r="DE4" s="43">
        <v>0</v>
      </c>
      <c r="DF4" s="43">
        <v>0</v>
      </c>
      <c r="DG4" s="43">
        <v>2.32715008432E-2</v>
      </c>
      <c r="DH4" s="43">
        <v>0</v>
      </c>
      <c r="DI4" s="43">
        <v>0</v>
      </c>
      <c r="DJ4" s="43">
        <v>1.51770657673E-2</v>
      </c>
      <c r="DK4" s="43">
        <v>0</v>
      </c>
      <c r="DL4" s="43">
        <v>0</v>
      </c>
      <c r="DM4" s="43">
        <v>0</v>
      </c>
      <c r="DN4" s="43">
        <v>0</v>
      </c>
      <c r="DO4" s="43">
        <v>0</v>
      </c>
      <c r="DP4" s="43">
        <v>0</v>
      </c>
      <c r="DQ4" s="43">
        <v>0.135919055649</v>
      </c>
      <c r="DR4" s="43">
        <v>8.6003372681300004E-3</v>
      </c>
      <c r="DS4" s="43">
        <v>4.8397976391199998E-2</v>
      </c>
      <c r="DT4" s="43">
        <v>8.4317032040500002E-4</v>
      </c>
      <c r="DU4" s="43">
        <v>6.8296795952799999E-2</v>
      </c>
      <c r="DV4" s="43">
        <v>0</v>
      </c>
      <c r="DW4" s="43">
        <v>0</v>
      </c>
      <c r="DX4" s="43">
        <v>0</v>
      </c>
      <c r="DY4" s="43">
        <v>0</v>
      </c>
      <c r="DZ4" s="43">
        <v>8.4317032040500002E-4</v>
      </c>
      <c r="EA4" s="43">
        <v>0</v>
      </c>
      <c r="EB4" s="43">
        <v>4.55311973019E-3</v>
      </c>
      <c r="EC4" s="43">
        <v>0</v>
      </c>
      <c r="ED4" s="43">
        <v>1.8887015177100001E-2</v>
      </c>
      <c r="EE4" s="43">
        <v>0</v>
      </c>
      <c r="EF4" s="43">
        <v>1.48397976391E-2</v>
      </c>
      <c r="EG4" s="43">
        <v>9.3929173693099999E-2</v>
      </c>
      <c r="EH4" s="43">
        <v>0</v>
      </c>
      <c r="EI4" s="43">
        <v>0</v>
      </c>
      <c r="EJ4" s="43">
        <v>0</v>
      </c>
      <c r="EK4" s="43">
        <v>0</v>
      </c>
      <c r="EL4" s="43">
        <v>0</v>
      </c>
      <c r="EM4" s="43">
        <v>0</v>
      </c>
      <c r="EN4" s="43">
        <v>0</v>
      </c>
      <c r="EO4" s="43">
        <v>0</v>
      </c>
      <c r="EP4" s="43">
        <v>0</v>
      </c>
      <c r="EQ4" s="43">
        <v>0</v>
      </c>
      <c r="ER4" s="43">
        <v>0</v>
      </c>
      <c r="ES4" s="43">
        <v>0</v>
      </c>
      <c r="ET4" s="43">
        <v>0</v>
      </c>
      <c r="EU4" s="43">
        <v>0</v>
      </c>
      <c r="EV4" s="43">
        <v>0</v>
      </c>
      <c r="EW4" s="43">
        <v>0</v>
      </c>
      <c r="EX4" s="43">
        <v>0</v>
      </c>
      <c r="EY4" s="43">
        <v>9.1062394603699998E-2</v>
      </c>
      <c r="EZ4" s="43">
        <v>0</v>
      </c>
      <c r="FA4" s="43">
        <v>5.0590219224299997E-4</v>
      </c>
      <c r="FB4" s="43">
        <v>0</v>
      </c>
      <c r="FC4" s="43">
        <v>0</v>
      </c>
      <c r="FD4" s="43">
        <v>0</v>
      </c>
      <c r="FE4" s="43">
        <v>0</v>
      </c>
      <c r="FF4" s="43">
        <v>0</v>
      </c>
      <c r="FG4" s="43">
        <v>0</v>
      </c>
      <c r="FH4" s="43">
        <v>0</v>
      </c>
      <c r="FI4" s="43">
        <v>0</v>
      </c>
      <c r="FJ4" s="43">
        <v>0</v>
      </c>
      <c r="FK4" s="43">
        <v>0</v>
      </c>
      <c r="FL4" s="43">
        <v>0</v>
      </c>
      <c r="FM4" s="43">
        <v>0</v>
      </c>
      <c r="FN4" s="43">
        <v>0</v>
      </c>
      <c r="FO4" s="43">
        <v>0</v>
      </c>
      <c r="FP4" s="43">
        <v>0</v>
      </c>
      <c r="FQ4" s="43">
        <v>0</v>
      </c>
      <c r="FR4" s="43">
        <v>0</v>
      </c>
      <c r="FS4" s="43">
        <v>0</v>
      </c>
      <c r="FT4" s="43">
        <v>0</v>
      </c>
      <c r="FU4" s="43">
        <v>0</v>
      </c>
      <c r="FV4" s="43">
        <v>0</v>
      </c>
      <c r="FW4" s="43">
        <v>0</v>
      </c>
      <c r="FX4" s="43">
        <v>0</v>
      </c>
      <c r="FY4" s="43">
        <v>0</v>
      </c>
      <c r="FZ4" s="43">
        <v>0</v>
      </c>
      <c r="GA4" s="43">
        <v>0</v>
      </c>
      <c r="GB4" s="43">
        <v>5.0590219224299997E-4</v>
      </c>
      <c r="GC4" s="43">
        <v>3.3726812816199998E-2</v>
      </c>
      <c r="GD4" s="43">
        <v>0</v>
      </c>
    </row>
    <row r="5" spans="1:186" ht="16.5" x14ac:dyDescent="0.3">
      <c r="A5" s="21" t="s">
        <v>194</v>
      </c>
      <c r="B5" s="22" t="s">
        <v>1</v>
      </c>
      <c r="C5" s="23">
        <v>17</v>
      </c>
      <c r="D5" s="23" t="s">
        <v>195</v>
      </c>
      <c r="E5" s="24" t="s">
        <v>184</v>
      </c>
      <c r="F5" s="25" t="s">
        <v>196</v>
      </c>
      <c r="G5" s="26" t="s">
        <v>1</v>
      </c>
      <c r="H5" s="26" t="s">
        <v>184</v>
      </c>
      <c r="I5" s="27">
        <v>17</v>
      </c>
      <c r="J5" s="27">
        <v>180</v>
      </c>
      <c r="K5" s="27">
        <v>75</v>
      </c>
      <c r="L5" s="28">
        <f t="shared" si="0"/>
        <v>23.148148148148145</v>
      </c>
      <c r="M5" s="29">
        <v>72</v>
      </c>
      <c r="N5" s="30" t="s">
        <v>186</v>
      </c>
      <c r="O5" s="30" t="s">
        <v>186</v>
      </c>
      <c r="P5" s="30" t="s">
        <v>186</v>
      </c>
      <c r="Q5" s="30" t="s">
        <v>186</v>
      </c>
      <c r="R5" s="30" t="s">
        <v>186</v>
      </c>
      <c r="S5" s="31" t="s">
        <v>186</v>
      </c>
      <c r="T5" s="30" t="s">
        <v>186</v>
      </c>
      <c r="U5" s="30" t="s">
        <v>186</v>
      </c>
      <c r="V5" s="30" t="s">
        <v>186</v>
      </c>
      <c r="W5" s="30" t="s">
        <v>186</v>
      </c>
      <c r="X5" s="25">
        <v>2090.9597861575257</v>
      </c>
      <c r="Y5" s="25">
        <v>2247.0350004222123</v>
      </c>
      <c r="Z5" s="25">
        <v>900.63650455362165</v>
      </c>
      <c r="AA5" s="25">
        <v>4652.9847156992928</v>
      </c>
      <c r="AB5" s="25">
        <v>849.14506825781064</v>
      </c>
      <c r="AC5" s="25">
        <v>1502.3005595780005</v>
      </c>
      <c r="AD5" s="45">
        <v>800</v>
      </c>
      <c r="AE5" s="32">
        <v>11.56</v>
      </c>
      <c r="AF5" s="23" t="s">
        <v>195</v>
      </c>
      <c r="AG5" s="33">
        <v>54.4</v>
      </c>
      <c r="AH5" s="33">
        <v>13.9</v>
      </c>
      <c r="AI5" s="34">
        <f t="shared" si="1"/>
        <v>21.250000000000004</v>
      </c>
      <c r="AJ5" s="34">
        <f t="shared" si="2"/>
        <v>83.165467625899282</v>
      </c>
      <c r="AK5" s="35">
        <v>54.4</v>
      </c>
      <c r="AL5" s="36">
        <f t="shared" si="3"/>
        <v>21.250000000000004</v>
      </c>
      <c r="AM5" s="37">
        <v>13.9</v>
      </c>
      <c r="AN5" s="38">
        <f t="shared" si="4"/>
        <v>83.165467625899282</v>
      </c>
      <c r="AO5" s="39">
        <v>1655527.3445597</v>
      </c>
      <c r="AP5" s="39">
        <v>141984996.658364</v>
      </c>
      <c r="AQ5" s="39">
        <v>3647759.9330870402</v>
      </c>
      <c r="AR5" s="39">
        <v>33114403.4150973</v>
      </c>
      <c r="AT5" s="47">
        <v>0</v>
      </c>
      <c r="AU5" s="47">
        <v>0.45413153457</v>
      </c>
      <c r="AV5" s="47">
        <v>0</v>
      </c>
      <c r="AW5" s="47">
        <v>0</v>
      </c>
      <c r="AX5" s="47">
        <v>0</v>
      </c>
      <c r="AY5" s="47">
        <v>0.54586846543</v>
      </c>
      <c r="AZ5" s="47">
        <v>0</v>
      </c>
      <c r="BA5" s="47">
        <v>0</v>
      </c>
      <c r="BB5" s="47">
        <v>0</v>
      </c>
      <c r="BC5" s="47">
        <v>0</v>
      </c>
      <c r="BD5" s="47">
        <v>0</v>
      </c>
      <c r="BE5" s="47">
        <v>0</v>
      </c>
      <c r="BF5" s="47">
        <v>0</v>
      </c>
      <c r="BG5" s="48"/>
      <c r="BH5" s="43">
        <v>0</v>
      </c>
      <c r="BI5" s="43">
        <v>0</v>
      </c>
      <c r="BJ5" s="43">
        <v>0</v>
      </c>
      <c r="BK5" s="43">
        <v>0</v>
      </c>
      <c r="BL5" s="43">
        <v>0</v>
      </c>
      <c r="BM5" s="43">
        <v>0</v>
      </c>
      <c r="BN5" s="43">
        <v>0</v>
      </c>
      <c r="BO5" s="43">
        <v>0</v>
      </c>
      <c r="BP5" s="43">
        <v>0</v>
      </c>
      <c r="BQ5" s="43">
        <v>0</v>
      </c>
      <c r="BR5" s="43">
        <v>0</v>
      </c>
      <c r="BS5" s="43">
        <v>0</v>
      </c>
      <c r="BT5" s="43">
        <v>0.42647554806100002</v>
      </c>
      <c r="BU5" s="43">
        <v>0</v>
      </c>
      <c r="BV5" s="43">
        <v>1.9224283305199999E-2</v>
      </c>
      <c r="BW5" s="43">
        <v>1.5514333895400001E-2</v>
      </c>
      <c r="BX5" s="43">
        <v>8.4654300168599997E-2</v>
      </c>
      <c r="BY5" s="43">
        <v>0</v>
      </c>
      <c r="BZ5" s="43">
        <v>0</v>
      </c>
      <c r="CA5" s="43">
        <v>0</v>
      </c>
      <c r="CB5" s="43">
        <v>0</v>
      </c>
      <c r="CC5" s="43">
        <v>0</v>
      </c>
      <c r="CD5" s="43">
        <v>0</v>
      </c>
      <c r="CE5" s="43">
        <v>0</v>
      </c>
      <c r="CF5" s="43">
        <v>0</v>
      </c>
      <c r="CG5" s="43">
        <v>0</v>
      </c>
      <c r="CH5" s="43">
        <v>0</v>
      </c>
      <c r="CI5" s="43">
        <v>0</v>
      </c>
      <c r="CJ5" s="43">
        <v>0</v>
      </c>
      <c r="CK5" s="43">
        <v>0</v>
      </c>
      <c r="CL5" s="43">
        <v>0</v>
      </c>
      <c r="CM5" s="43">
        <v>0</v>
      </c>
      <c r="CN5" s="43">
        <v>0</v>
      </c>
      <c r="CO5" s="43">
        <v>0</v>
      </c>
      <c r="CP5" s="43">
        <v>0</v>
      </c>
      <c r="CQ5" s="43">
        <v>0</v>
      </c>
      <c r="CR5" s="43">
        <v>0</v>
      </c>
      <c r="CS5" s="43">
        <v>0</v>
      </c>
      <c r="CT5" s="43">
        <v>0</v>
      </c>
      <c r="CU5" s="43">
        <v>0</v>
      </c>
      <c r="CV5" s="43">
        <v>0</v>
      </c>
      <c r="CW5" s="43">
        <v>0</v>
      </c>
      <c r="CX5" s="43">
        <v>0</v>
      </c>
      <c r="CY5" s="43">
        <v>0</v>
      </c>
      <c r="CZ5" s="43">
        <v>0</v>
      </c>
      <c r="DA5" s="43">
        <v>0</v>
      </c>
      <c r="DB5" s="43">
        <v>2.3608768971300001E-3</v>
      </c>
      <c r="DC5" s="43">
        <v>0</v>
      </c>
      <c r="DD5" s="43">
        <v>2.8667790893799998E-3</v>
      </c>
      <c r="DE5" s="43">
        <v>0</v>
      </c>
      <c r="DF5" s="43">
        <v>0</v>
      </c>
      <c r="DG5" s="43">
        <v>1.6694772343999999E-2</v>
      </c>
      <c r="DH5" s="43">
        <v>0</v>
      </c>
      <c r="DI5" s="43">
        <v>0</v>
      </c>
      <c r="DJ5" s="43">
        <v>0</v>
      </c>
      <c r="DK5" s="43">
        <v>1.58516020236E-2</v>
      </c>
      <c r="DL5" s="43">
        <v>0</v>
      </c>
      <c r="DM5" s="43">
        <v>0</v>
      </c>
      <c r="DN5" s="43">
        <v>0</v>
      </c>
      <c r="DO5" s="43">
        <v>0</v>
      </c>
      <c r="DP5" s="43">
        <v>0</v>
      </c>
      <c r="DQ5" s="43">
        <v>9.9494097807799997E-2</v>
      </c>
      <c r="DR5" s="43">
        <v>0</v>
      </c>
      <c r="DS5" s="43">
        <v>0.19055649241100001</v>
      </c>
      <c r="DT5" s="43">
        <v>2.58010118044E-2</v>
      </c>
      <c r="DU5" s="43">
        <v>8.7689713322099995E-3</v>
      </c>
      <c r="DV5" s="43">
        <v>0</v>
      </c>
      <c r="DW5" s="43">
        <v>0</v>
      </c>
      <c r="DX5" s="43">
        <v>0</v>
      </c>
      <c r="DY5" s="43">
        <v>0</v>
      </c>
      <c r="DZ5" s="43">
        <v>3.87858347386E-3</v>
      </c>
      <c r="EA5" s="43">
        <v>0</v>
      </c>
      <c r="EB5" s="43">
        <v>5.0590219224299997E-4</v>
      </c>
      <c r="EC5" s="43">
        <v>0</v>
      </c>
      <c r="ED5" s="43">
        <v>4.8229342327199998E-2</v>
      </c>
      <c r="EE5" s="43">
        <v>0</v>
      </c>
      <c r="EF5" s="43">
        <v>1.68634064081E-4</v>
      </c>
      <c r="EG5" s="43">
        <v>3.37268128162E-4</v>
      </c>
      <c r="EH5" s="43">
        <v>0</v>
      </c>
      <c r="EI5" s="43">
        <v>0</v>
      </c>
      <c r="EJ5" s="43">
        <v>0</v>
      </c>
      <c r="EK5" s="43">
        <v>0</v>
      </c>
      <c r="EL5" s="43">
        <v>0</v>
      </c>
      <c r="EM5" s="43">
        <v>0</v>
      </c>
      <c r="EN5" s="43">
        <v>0</v>
      </c>
      <c r="EO5" s="43">
        <v>0</v>
      </c>
      <c r="EP5" s="43">
        <v>0</v>
      </c>
      <c r="EQ5" s="43">
        <v>0</v>
      </c>
      <c r="ER5" s="43">
        <v>0</v>
      </c>
      <c r="ES5" s="43">
        <v>0</v>
      </c>
      <c r="ET5" s="43">
        <v>0</v>
      </c>
      <c r="EU5" s="43">
        <v>0</v>
      </c>
      <c r="EV5" s="43">
        <v>0</v>
      </c>
      <c r="EW5" s="43">
        <v>0</v>
      </c>
      <c r="EX5" s="43">
        <v>0</v>
      </c>
      <c r="EY5" s="43">
        <v>3.8617200674500002E-2</v>
      </c>
      <c r="EZ5" s="43">
        <v>0</v>
      </c>
      <c r="FA5" s="43">
        <v>0</v>
      </c>
      <c r="FB5" s="43">
        <v>0</v>
      </c>
      <c r="FC5" s="43">
        <v>0</v>
      </c>
      <c r="FD5" s="43">
        <v>0</v>
      </c>
      <c r="FE5" s="43">
        <v>0</v>
      </c>
      <c r="FF5" s="43">
        <v>0</v>
      </c>
      <c r="FG5" s="43">
        <v>0</v>
      </c>
      <c r="FH5" s="43">
        <v>0</v>
      </c>
      <c r="FI5" s="43">
        <v>0</v>
      </c>
      <c r="FJ5" s="43">
        <v>0</v>
      </c>
      <c r="FK5" s="43">
        <v>0</v>
      </c>
      <c r="FL5" s="43">
        <v>0</v>
      </c>
      <c r="FM5" s="43">
        <v>0</v>
      </c>
      <c r="FN5" s="43">
        <v>0</v>
      </c>
      <c r="FO5" s="43">
        <v>0</v>
      </c>
      <c r="FP5" s="43">
        <v>0</v>
      </c>
      <c r="FQ5" s="43">
        <v>0</v>
      </c>
      <c r="FR5" s="43">
        <v>0</v>
      </c>
      <c r="FS5" s="43">
        <v>0</v>
      </c>
      <c r="FT5" s="43">
        <v>0</v>
      </c>
      <c r="FU5" s="43">
        <v>0</v>
      </c>
      <c r="FV5" s="43">
        <v>0</v>
      </c>
      <c r="FW5" s="43">
        <v>0</v>
      </c>
      <c r="FX5" s="43">
        <v>0</v>
      </c>
      <c r="FY5" s="43">
        <v>0</v>
      </c>
      <c r="FZ5" s="43">
        <v>0</v>
      </c>
      <c r="GA5" s="43">
        <v>0</v>
      </c>
      <c r="GB5" s="43">
        <v>0</v>
      </c>
      <c r="GC5" s="43">
        <v>0</v>
      </c>
      <c r="GD5" s="43">
        <v>0</v>
      </c>
    </row>
    <row r="6" spans="1:186" ht="16.5" x14ac:dyDescent="0.3">
      <c r="A6" s="21" t="s">
        <v>197</v>
      </c>
      <c r="B6" s="22" t="s">
        <v>1</v>
      </c>
      <c r="C6" s="23">
        <v>8</v>
      </c>
      <c r="D6" s="23" t="s">
        <v>183</v>
      </c>
      <c r="E6" s="24" t="s">
        <v>184</v>
      </c>
      <c r="F6" s="25" t="s">
        <v>198</v>
      </c>
      <c r="G6" s="26" t="s">
        <v>1</v>
      </c>
      <c r="H6" s="26" t="s">
        <v>184</v>
      </c>
      <c r="I6" s="27">
        <v>8</v>
      </c>
      <c r="J6" s="27">
        <v>125</v>
      </c>
      <c r="K6" s="27">
        <v>30</v>
      </c>
      <c r="L6" s="28">
        <f t="shared" si="0"/>
        <v>19.2</v>
      </c>
      <c r="M6" s="29">
        <v>92</v>
      </c>
      <c r="N6" s="30" t="s">
        <v>186</v>
      </c>
      <c r="O6" s="30" t="s">
        <v>186</v>
      </c>
      <c r="P6" s="30" t="s">
        <v>186</v>
      </c>
      <c r="Q6" s="30" t="s">
        <v>186</v>
      </c>
      <c r="R6" s="30" t="s">
        <v>199</v>
      </c>
      <c r="S6" s="31" t="s">
        <v>200</v>
      </c>
      <c r="T6" s="30" t="s">
        <v>186</v>
      </c>
      <c r="U6" s="30" t="s">
        <v>186</v>
      </c>
      <c r="V6" s="30" t="s">
        <v>186</v>
      </c>
      <c r="W6" s="30" t="s">
        <v>186</v>
      </c>
      <c r="X6" s="25">
        <v>3383.1655840124195</v>
      </c>
      <c r="Y6" s="25">
        <v>797.75845993232417</v>
      </c>
      <c r="Z6" s="25">
        <v>406.81855031534877</v>
      </c>
      <c r="AA6" s="25">
        <v>1832.8105825032808</v>
      </c>
      <c r="AB6" s="25">
        <v>334.54586081739035</v>
      </c>
      <c r="AC6" s="25">
        <v>667.21463763952954</v>
      </c>
      <c r="AD6" s="45">
        <v>800</v>
      </c>
      <c r="AE6" s="32">
        <v>20.732500000000002</v>
      </c>
      <c r="AF6" s="23" t="s">
        <v>183</v>
      </c>
      <c r="AG6" s="33">
        <v>119.3</v>
      </c>
      <c r="AH6" s="33">
        <v>17.3</v>
      </c>
      <c r="AI6" s="34">
        <f t="shared" si="1"/>
        <v>17.37845766974015</v>
      </c>
      <c r="AJ6" s="34">
        <f t="shared" si="2"/>
        <v>119.84104046242776</v>
      </c>
      <c r="AK6" s="35">
        <v>119.3</v>
      </c>
      <c r="AL6" s="36">
        <f t="shared" si="3"/>
        <v>17.37845766974015</v>
      </c>
      <c r="AM6" s="37">
        <v>17.3</v>
      </c>
      <c r="AN6" s="38">
        <f t="shared" si="4"/>
        <v>119.84104046242776</v>
      </c>
      <c r="AO6" s="39">
        <v>1672675.8403657</v>
      </c>
      <c r="AP6" s="39">
        <v>43494774.224349998</v>
      </c>
      <c r="AQ6" s="39">
        <v>3847937.8347052499</v>
      </c>
      <c r="AR6" s="39">
        <v>185249492.646265</v>
      </c>
      <c r="AT6" s="47">
        <v>0.18566610455300001</v>
      </c>
      <c r="AU6" s="47">
        <v>0.54755480607100004</v>
      </c>
      <c r="AV6" s="47">
        <v>3.70994940978E-3</v>
      </c>
      <c r="AW6" s="47">
        <v>1.68634064081E-3</v>
      </c>
      <c r="AX6" s="47">
        <v>0</v>
      </c>
      <c r="AY6" s="47">
        <v>0.25531197301899999</v>
      </c>
      <c r="AZ6" s="47">
        <v>0</v>
      </c>
      <c r="BA6" s="47">
        <v>5.7335581787499998E-3</v>
      </c>
      <c r="BB6" s="47">
        <v>3.37268128162E-4</v>
      </c>
      <c r="BC6" s="47">
        <v>0</v>
      </c>
      <c r="BD6" s="47">
        <v>0</v>
      </c>
      <c r="BE6" s="47">
        <v>0</v>
      </c>
      <c r="BF6" s="47">
        <v>0</v>
      </c>
      <c r="BG6" s="48"/>
      <c r="BH6" s="43">
        <v>3.37268128162E-4</v>
      </c>
      <c r="BI6" s="43">
        <v>0</v>
      </c>
      <c r="BJ6" s="43">
        <v>0</v>
      </c>
      <c r="BK6" s="43">
        <v>0</v>
      </c>
      <c r="BL6" s="43">
        <v>0</v>
      </c>
      <c r="BM6" s="43">
        <v>0</v>
      </c>
      <c r="BN6" s="43">
        <v>0</v>
      </c>
      <c r="BO6" s="43">
        <v>0</v>
      </c>
      <c r="BP6" s="43">
        <v>0</v>
      </c>
      <c r="BQ6" s="43">
        <v>0</v>
      </c>
      <c r="BR6" s="43">
        <v>0</v>
      </c>
      <c r="BS6" s="43">
        <v>0</v>
      </c>
      <c r="BT6" s="43">
        <v>0.12276559865099999</v>
      </c>
      <c r="BU6" s="43">
        <v>7.58853288364E-3</v>
      </c>
      <c r="BV6" s="43">
        <v>3.5750421585199997E-2</v>
      </c>
      <c r="BW6" s="43">
        <v>0</v>
      </c>
      <c r="BX6" s="43">
        <v>7.5716694772300003E-2</v>
      </c>
      <c r="BY6" s="43">
        <v>1.34907251265E-2</v>
      </c>
      <c r="BZ6" s="43">
        <v>0</v>
      </c>
      <c r="CA6" s="43">
        <v>0</v>
      </c>
      <c r="CB6" s="43">
        <v>1.68634064081E-3</v>
      </c>
      <c r="CC6" s="43">
        <v>0</v>
      </c>
      <c r="CD6" s="43">
        <v>0</v>
      </c>
      <c r="CE6" s="43">
        <v>0</v>
      </c>
      <c r="CF6" s="43">
        <v>0</v>
      </c>
      <c r="CG6" s="43">
        <v>0</v>
      </c>
      <c r="CH6" s="43">
        <v>0</v>
      </c>
      <c r="CI6" s="43">
        <v>0</v>
      </c>
      <c r="CJ6" s="43">
        <v>0</v>
      </c>
      <c r="CK6" s="43">
        <v>0</v>
      </c>
      <c r="CL6" s="43">
        <v>0</v>
      </c>
      <c r="CM6" s="43">
        <v>0</v>
      </c>
      <c r="CN6" s="43">
        <v>0</v>
      </c>
      <c r="CO6" s="43">
        <v>0</v>
      </c>
      <c r="CP6" s="43">
        <v>0</v>
      </c>
      <c r="CQ6" s="43">
        <v>0</v>
      </c>
      <c r="CR6" s="43">
        <v>0</v>
      </c>
      <c r="CS6" s="43">
        <v>0</v>
      </c>
      <c r="CT6" s="43">
        <v>0</v>
      </c>
      <c r="CU6" s="43">
        <v>0</v>
      </c>
      <c r="CV6" s="43">
        <v>0</v>
      </c>
      <c r="CW6" s="43">
        <v>0</v>
      </c>
      <c r="CX6" s="43">
        <v>0</v>
      </c>
      <c r="CY6" s="43">
        <v>0</v>
      </c>
      <c r="CZ6" s="43">
        <v>0</v>
      </c>
      <c r="DA6" s="43">
        <v>0</v>
      </c>
      <c r="DB6" s="43">
        <v>0</v>
      </c>
      <c r="DC6" s="43">
        <v>5.0590219224299997E-4</v>
      </c>
      <c r="DD6" s="43">
        <v>0.13743676222599999</v>
      </c>
      <c r="DE6" s="43">
        <v>0</v>
      </c>
      <c r="DF6" s="43">
        <v>0</v>
      </c>
      <c r="DG6" s="43">
        <v>2.1247892074200001E-2</v>
      </c>
      <c r="DH6" s="43">
        <v>0</v>
      </c>
      <c r="DI6" s="43">
        <v>0</v>
      </c>
      <c r="DJ6" s="43">
        <v>0</v>
      </c>
      <c r="DK6" s="43">
        <v>0</v>
      </c>
      <c r="DL6" s="43">
        <v>0</v>
      </c>
      <c r="DM6" s="43">
        <v>0</v>
      </c>
      <c r="DN6" s="43">
        <v>0</v>
      </c>
      <c r="DO6" s="43">
        <v>0</v>
      </c>
      <c r="DP6" s="43">
        <v>0</v>
      </c>
      <c r="DQ6" s="43">
        <v>7.3018549747000006E-2</v>
      </c>
      <c r="DR6" s="43">
        <v>0</v>
      </c>
      <c r="DS6" s="43">
        <v>0.15919055649200001</v>
      </c>
      <c r="DT6" s="43">
        <v>1.36593591906E-2</v>
      </c>
      <c r="DU6" s="43">
        <v>0</v>
      </c>
      <c r="DV6" s="43">
        <v>0</v>
      </c>
      <c r="DW6" s="43">
        <v>0</v>
      </c>
      <c r="DX6" s="43">
        <v>4.55311973019E-3</v>
      </c>
      <c r="DY6" s="43">
        <v>0</v>
      </c>
      <c r="DZ6" s="43">
        <v>0</v>
      </c>
      <c r="EA6" s="43">
        <v>0</v>
      </c>
      <c r="EB6" s="43">
        <v>3.5919055649199998E-2</v>
      </c>
      <c r="EC6" s="43">
        <v>0</v>
      </c>
      <c r="ED6" s="43">
        <v>3.0016863406400002E-2</v>
      </c>
      <c r="EE6" s="43">
        <v>5.0590219224299997E-4</v>
      </c>
      <c r="EF6" s="43">
        <v>3.37268128162E-4</v>
      </c>
      <c r="EG6" s="43">
        <v>9.1062394603699994E-3</v>
      </c>
      <c r="EH6" s="43">
        <v>0</v>
      </c>
      <c r="EI6" s="43">
        <v>0</v>
      </c>
      <c r="EJ6" s="43">
        <v>0</v>
      </c>
      <c r="EK6" s="43">
        <v>0</v>
      </c>
      <c r="EL6" s="43">
        <v>0</v>
      </c>
      <c r="EM6" s="43">
        <v>0</v>
      </c>
      <c r="EN6" s="43">
        <v>0</v>
      </c>
      <c r="EO6" s="43">
        <v>0</v>
      </c>
      <c r="EP6" s="43">
        <v>8.6003372681300004E-3</v>
      </c>
      <c r="EQ6" s="43">
        <v>0</v>
      </c>
      <c r="ER6" s="43">
        <v>0</v>
      </c>
      <c r="ES6" s="43">
        <v>0</v>
      </c>
      <c r="ET6" s="43">
        <v>0</v>
      </c>
      <c r="EU6" s="43">
        <v>0</v>
      </c>
      <c r="EV6" s="43">
        <v>0</v>
      </c>
      <c r="EW6" s="43">
        <v>0</v>
      </c>
      <c r="EX6" s="43">
        <v>0</v>
      </c>
      <c r="EY6" s="43">
        <v>1.68634064081E-3</v>
      </c>
      <c r="EZ6" s="43">
        <v>0</v>
      </c>
      <c r="FA6" s="43">
        <v>0</v>
      </c>
      <c r="FB6" s="43">
        <v>0</v>
      </c>
      <c r="FC6" s="43">
        <v>0</v>
      </c>
      <c r="FD6" s="43">
        <v>0</v>
      </c>
      <c r="FE6" s="43">
        <v>5.1770657672800001E-2</v>
      </c>
      <c r="FF6" s="43">
        <v>0</v>
      </c>
      <c r="FG6" s="43">
        <v>0</v>
      </c>
      <c r="FH6" s="43">
        <v>0</v>
      </c>
      <c r="FI6" s="43">
        <v>0</v>
      </c>
      <c r="FJ6" s="43">
        <v>0</v>
      </c>
      <c r="FK6" s="43">
        <v>0</v>
      </c>
      <c r="FL6" s="43">
        <v>0</v>
      </c>
      <c r="FM6" s="43">
        <v>0</v>
      </c>
      <c r="FN6" s="43">
        <v>0</v>
      </c>
      <c r="FO6" s="43">
        <v>0</v>
      </c>
      <c r="FP6" s="43">
        <v>0</v>
      </c>
      <c r="FQ6" s="43">
        <v>3.70994940978E-3</v>
      </c>
      <c r="FR6" s="43">
        <v>0</v>
      </c>
      <c r="FS6" s="43">
        <v>0</v>
      </c>
      <c r="FT6" s="43">
        <v>0</v>
      </c>
      <c r="FU6" s="43">
        <v>0</v>
      </c>
      <c r="FV6" s="43">
        <v>0</v>
      </c>
      <c r="FW6" s="43">
        <v>0</v>
      </c>
      <c r="FX6" s="43">
        <v>0</v>
      </c>
      <c r="FY6" s="43">
        <v>0</v>
      </c>
      <c r="FZ6" s="43">
        <v>0</v>
      </c>
      <c r="GA6" s="43">
        <v>0</v>
      </c>
      <c r="GB6" s="43">
        <v>5.7335581787499998E-3</v>
      </c>
      <c r="GC6" s="43">
        <v>0.18566610455300001</v>
      </c>
      <c r="GD6" s="43">
        <v>0</v>
      </c>
    </row>
    <row r="7" spans="1:186" ht="16.5" x14ac:dyDescent="0.3">
      <c r="A7" s="21" t="s">
        <v>201</v>
      </c>
      <c r="B7" s="22" t="s">
        <v>1</v>
      </c>
      <c r="C7" s="23">
        <v>6</v>
      </c>
      <c r="D7" s="23" t="s">
        <v>183</v>
      </c>
      <c r="E7" s="24" t="s">
        <v>184</v>
      </c>
      <c r="F7" s="25" t="s">
        <v>202</v>
      </c>
      <c r="G7" s="26" t="s">
        <v>1</v>
      </c>
      <c r="H7" s="26" t="s">
        <v>184</v>
      </c>
      <c r="I7" s="27">
        <v>6</v>
      </c>
      <c r="J7" s="27">
        <v>116</v>
      </c>
      <c r="K7" s="27">
        <v>17</v>
      </c>
      <c r="L7" s="28">
        <f t="shared" si="0"/>
        <v>12.633769322235436</v>
      </c>
      <c r="M7" s="29">
        <v>1</v>
      </c>
      <c r="N7" s="30" t="s">
        <v>186</v>
      </c>
      <c r="O7" s="30" t="s">
        <v>186</v>
      </c>
      <c r="P7" s="30" t="s">
        <v>186</v>
      </c>
      <c r="Q7" s="30" t="s">
        <v>186</v>
      </c>
      <c r="R7" s="30" t="s">
        <v>186</v>
      </c>
      <c r="S7" s="31" t="s">
        <v>186</v>
      </c>
      <c r="T7" s="30" t="s">
        <v>186</v>
      </c>
      <c r="U7" s="30" t="s">
        <v>186</v>
      </c>
      <c r="V7" s="30" t="s">
        <v>203</v>
      </c>
      <c r="W7" s="30" t="s">
        <v>186</v>
      </c>
      <c r="X7" s="25">
        <v>6364.7650452615999</v>
      </c>
      <c r="Y7" s="25">
        <v>2044.7405047550878</v>
      </c>
      <c r="Z7" s="25">
        <v>352.75717355595486</v>
      </c>
      <c r="AA7" s="25">
        <v>4425.4733792786928</v>
      </c>
      <c r="AB7" s="25">
        <v>219.66478430505126</v>
      </c>
      <c r="AC7" s="25">
        <v>663.36095894453058</v>
      </c>
      <c r="AD7" s="32">
        <v>61.2</v>
      </c>
      <c r="AE7" s="32">
        <v>213.82249999999999</v>
      </c>
      <c r="AF7" s="23" t="s">
        <v>183</v>
      </c>
      <c r="AG7" s="33">
        <v>177.1</v>
      </c>
      <c r="AH7" s="33">
        <v>19.3</v>
      </c>
      <c r="AI7" s="34">
        <f t="shared" si="1"/>
        <v>120.73546019198193</v>
      </c>
      <c r="AJ7" s="34">
        <f t="shared" si="2"/>
        <v>1107.8886010362692</v>
      </c>
      <c r="AK7" s="35">
        <v>177.1</v>
      </c>
      <c r="AL7" s="36">
        <f t="shared" si="3"/>
        <v>120.73546019198193</v>
      </c>
      <c r="AM7" s="37">
        <v>19.3</v>
      </c>
      <c r="AN7" s="38">
        <f t="shared" si="4"/>
        <v>1107.8886010362692</v>
      </c>
      <c r="AO7" s="39">
        <v>995305.57690407196</v>
      </c>
      <c r="AP7" s="39">
        <v>277877813.31054503</v>
      </c>
      <c r="AQ7" s="39">
        <v>2652449.4789928999</v>
      </c>
      <c r="AR7" s="39">
        <v>55420448.7049492</v>
      </c>
      <c r="AT7" s="47">
        <v>4.72175379427E-3</v>
      </c>
      <c r="AU7" s="47">
        <v>0.87436762225999998</v>
      </c>
      <c r="AV7" s="47">
        <v>0</v>
      </c>
      <c r="AW7" s="47">
        <v>2.1247892074200001E-2</v>
      </c>
      <c r="AX7" s="47">
        <v>0</v>
      </c>
      <c r="AY7" s="47">
        <v>9.9662731871799998E-2</v>
      </c>
      <c r="AZ7" s="47">
        <v>0</v>
      </c>
      <c r="BA7" s="47">
        <v>0</v>
      </c>
      <c r="BB7" s="47">
        <v>0</v>
      </c>
      <c r="BC7" s="47">
        <v>0</v>
      </c>
      <c r="BD7" s="47">
        <v>0</v>
      </c>
      <c r="BE7" s="47">
        <v>0</v>
      </c>
      <c r="BF7" s="47">
        <v>0</v>
      </c>
      <c r="BG7" s="48"/>
      <c r="BH7" s="43">
        <v>0</v>
      </c>
      <c r="BI7" s="43">
        <v>0</v>
      </c>
      <c r="BJ7" s="43">
        <v>0</v>
      </c>
      <c r="BK7" s="43">
        <v>0</v>
      </c>
      <c r="BL7" s="43">
        <v>0</v>
      </c>
      <c r="BM7" s="43">
        <v>3.0354131534600002E-3</v>
      </c>
      <c r="BN7" s="43">
        <v>0</v>
      </c>
      <c r="BO7" s="43">
        <v>0</v>
      </c>
      <c r="BP7" s="43">
        <v>0</v>
      </c>
      <c r="BQ7" s="43">
        <v>0</v>
      </c>
      <c r="BR7" s="43">
        <v>5.0590219224299997E-4</v>
      </c>
      <c r="BS7" s="43">
        <v>0</v>
      </c>
      <c r="BT7" s="43">
        <v>0</v>
      </c>
      <c r="BU7" s="43">
        <v>0</v>
      </c>
      <c r="BV7" s="43">
        <v>1.58516020236E-2</v>
      </c>
      <c r="BW7" s="43">
        <v>8.2630691399700005E-3</v>
      </c>
      <c r="BX7" s="43">
        <v>7.2006745362600003E-2</v>
      </c>
      <c r="BY7" s="43">
        <v>0</v>
      </c>
      <c r="BZ7" s="43">
        <v>0</v>
      </c>
      <c r="CA7" s="43">
        <v>0</v>
      </c>
      <c r="CB7" s="43">
        <v>0</v>
      </c>
      <c r="CC7" s="43">
        <v>0</v>
      </c>
      <c r="CD7" s="43">
        <v>0</v>
      </c>
      <c r="CE7" s="43">
        <v>2.0067453625600001E-2</v>
      </c>
      <c r="CF7" s="43">
        <v>0</v>
      </c>
      <c r="CG7" s="43">
        <v>1.68634064081E-4</v>
      </c>
      <c r="CH7" s="43">
        <v>0</v>
      </c>
      <c r="CI7" s="43">
        <v>1.01180438449E-3</v>
      </c>
      <c r="CJ7" s="43">
        <v>0</v>
      </c>
      <c r="CK7" s="43">
        <v>0</v>
      </c>
      <c r="CL7" s="43">
        <v>0</v>
      </c>
      <c r="CM7" s="43">
        <v>0</v>
      </c>
      <c r="CN7" s="43">
        <v>0</v>
      </c>
      <c r="CO7" s="43">
        <v>0</v>
      </c>
      <c r="CP7" s="43">
        <v>0</v>
      </c>
      <c r="CQ7" s="43">
        <v>0</v>
      </c>
      <c r="CR7" s="43">
        <v>0</v>
      </c>
      <c r="CS7" s="43">
        <v>0</v>
      </c>
      <c r="CT7" s="43">
        <v>0</v>
      </c>
      <c r="CU7" s="43">
        <v>0</v>
      </c>
      <c r="CV7" s="43">
        <v>0</v>
      </c>
      <c r="CW7" s="43">
        <v>0</v>
      </c>
      <c r="CX7" s="43">
        <v>0</v>
      </c>
      <c r="CY7" s="43">
        <v>0</v>
      </c>
      <c r="CZ7" s="43">
        <v>0</v>
      </c>
      <c r="DA7" s="43">
        <v>3.37268128162E-4</v>
      </c>
      <c r="DB7" s="43">
        <v>0</v>
      </c>
      <c r="DC7" s="43">
        <v>1.18043844857E-3</v>
      </c>
      <c r="DD7" s="43">
        <v>3.2040472175400001E-3</v>
      </c>
      <c r="DE7" s="43">
        <v>0</v>
      </c>
      <c r="DF7" s="43">
        <v>0</v>
      </c>
      <c r="DG7" s="43">
        <v>3.30522765599E-2</v>
      </c>
      <c r="DH7" s="43">
        <v>6.4080944350800003E-3</v>
      </c>
      <c r="DI7" s="43">
        <v>0</v>
      </c>
      <c r="DJ7" s="43">
        <v>4.1483979763900003E-2</v>
      </c>
      <c r="DK7" s="43">
        <v>0</v>
      </c>
      <c r="DL7" s="43">
        <v>0</v>
      </c>
      <c r="DM7" s="43">
        <v>0</v>
      </c>
      <c r="DN7" s="43">
        <v>0</v>
      </c>
      <c r="DO7" s="43">
        <v>0</v>
      </c>
      <c r="DP7" s="43">
        <v>6.74536256324E-4</v>
      </c>
      <c r="DQ7" s="43">
        <v>4.4013490725100003E-2</v>
      </c>
      <c r="DR7" s="43">
        <v>2.6981450252999998E-3</v>
      </c>
      <c r="DS7" s="43">
        <v>9.0387858347399999E-2</v>
      </c>
      <c r="DT7" s="43">
        <v>1.6694772343999999E-2</v>
      </c>
      <c r="DU7" s="43">
        <v>4.2158516020200003E-3</v>
      </c>
      <c r="DV7" s="43">
        <v>0</v>
      </c>
      <c r="DW7" s="43">
        <v>0</v>
      </c>
      <c r="DX7" s="43">
        <v>0</v>
      </c>
      <c r="DY7" s="43">
        <v>0</v>
      </c>
      <c r="DZ7" s="43">
        <v>3.9460370994899997E-2</v>
      </c>
      <c r="EA7" s="43">
        <v>0</v>
      </c>
      <c r="EB7" s="43">
        <v>0.23052276559900001</v>
      </c>
      <c r="EC7" s="43">
        <v>0</v>
      </c>
      <c r="ED7" s="43">
        <v>0.163069139966</v>
      </c>
      <c r="EE7" s="43">
        <v>0</v>
      </c>
      <c r="EF7" s="43">
        <v>7.41989881956E-3</v>
      </c>
      <c r="EG7" s="43">
        <v>2.3777403035400001E-2</v>
      </c>
      <c r="EH7" s="43">
        <v>0</v>
      </c>
      <c r="EI7" s="43">
        <v>0</v>
      </c>
      <c r="EJ7" s="43">
        <v>0</v>
      </c>
      <c r="EK7" s="43">
        <v>0</v>
      </c>
      <c r="EL7" s="43">
        <v>0</v>
      </c>
      <c r="EM7" s="43">
        <v>5.0590219224299997E-4</v>
      </c>
      <c r="EN7" s="43">
        <v>0</v>
      </c>
      <c r="EO7" s="43">
        <v>0</v>
      </c>
      <c r="EP7" s="43">
        <v>2.8667790893799998E-3</v>
      </c>
      <c r="EQ7" s="43">
        <v>0</v>
      </c>
      <c r="ER7" s="43">
        <v>0</v>
      </c>
      <c r="ES7" s="43">
        <v>0</v>
      </c>
      <c r="ET7" s="43">
        <v>0</v>
      </c>
      <c r="EU7" s="43">
        <v>0</v>
      </c>
      <c r="EV7" s="43">
        <v>0</v>
      </c>
      <c r="EW7" s="43">
        <v>0</v>
      </c>
      <c r="EX7" s="43">
        <v>0</v>
      </c>
      <c r="EY7" s="43">
        <v>0.162057335582</v>
      </c>
      <c r="EZ7" s="43">
        <v>0</v>
      </c>
      <c r="FA7" s="43">
        <v>0</v>
      </c>
      <c r="FB7" s="43">
        <v>3.37268128162E-4</v>
      </c>
      <c r="FC7" s="43">
        <v>0</v>
      </c>
      <c r="FD7" s="43">
        <v>0</v>
      </c>
      <c r="FE7" s="43">
        <v>0</v>
      </c>
      <c r="FF7" s="43">
        <v>0</v>
      </c>
      <c r="FG7" s="43">
        <v>0</v>
      </c>
      <c r="FH7" s="43">
        <v>0</v>
      </c>
      <c r="FI7" s="43">
        <v>0</v>
      </c>
      <c r="FJ7" s="43">
        <v>0</v>
      </c>
      <c r="FK7" s="43">
        <v>0</v>
      </c>
      <c r="FL7" s="43">
        <v>0</v>
      </c>
      <c r="FM7" s="43">
        <v>0</v>
      </c>
      <c r="FN7" s="43">
        <v>0</v>
      </c>
      <c r="FO7" s="43">
        <v>0</v>
      </c>
      <c r="FP7" s="43">
        <v>0</v>
      </c>
      <c r="FQ7" s="43">
        <v>0</v>
      </c>
      <c r="FR7" s="43">
        <v>0</v>
      </c>
      <c r="FS7" s="43">
        <v>0</v>
      </c>
      <c r="FT7" s="43">
        <v>0</v>
      </c>
      <c r="FU7" s="43">
        <v>0</v>
      </c>
      <c r="FV7" s="43">
        <v>0</v>
      </c>
      <c r="FW7" s="43">
        <v>0</v>
      </c>
      <c r="FX7" s="43">
        <v>0</v>
      </c>
      <c r="FY7" s="43">
        <v>0</v>
      </c>
      <c r="FZ7" s="43">
        <v>0</v>
      </c>
      <c r="GA7" s="43">
        <v>0</v>
      </c>
      <c r="GB7" s="43">
        <v>0</v>
      </c>
      <c r="GC7" s="43">
        <v>4.72175379427E-3</v>
      </c>
      <c r="GD7" s="43">
        <v>0</v>
      </c>
    </row>
    <row r="8" spans="1:186" ht="16.5" x14ac:dyDescent="0.3">
      <c r="A8" s="21" t="s">
        <v>204</v>
      </c>
      <c r="B8" s="22" t="s">
        <v>1</v>
      </c>
      <c r="C8" s="23">
        <v>9</v>
      </c>
      <c r="D8" s="23" t="s">
        <v>183</v>
      </c>
      <c r="E8" s="24" t="s">
        <v>184</v>
      </c>
      <c r="F8" s="25" t="s">
        <v>205</v>
      </c>
      <c r="G8" s="26" t="s">
        <v>1</v>
      </c>
      <c r="H8" s="26" t="s">
        <v>184</v>
      </c>
      <c r="I8" s="27">
        <v>9</v>
      </c>
      <c r="J8" s="27">
        <v>139</v>
      </c>
      <c r="K8" s="27">
        <v>39</v>
      </c>
      <c r="L8" s="28">
        <f t="shared" si="0"/>
        <v>20.185290616427725</v>
      </c>
      <c r="M8" s="29">
        <v>93</v>
      </c>
      <c r="N8" s="30" t="s">
        <v>186</v>
      </c>
      <c r="O8" s="30" t="s">
        <v>186</v>
      </c>
      <c r="P8" s="30" t="s">
        <v>186</v>
      </c>
      <c r="Q8" s="30" t="s">
        <v>186</v>
      </c>
      <c r="R8" s="30" t="s">
        <v>186</v>
      </c>
      <c r="S8" s="31" t="s">
        <v>186</v>
      </c>
      <c r="T8" s="30" t="s">
        <v>186</v>
      </c>
      <c r="U8" s="30" t="s">
        <v>206</v>
      </c>
      <c r="V8" s="30" t="s">
        <v>207</v>
      </c>
      <c r="W8" s="30" t="s">
        <v>208</v>
      </c>
      <c r="X8" s="25">
        <v>4304.2854611783996</v>
      </c>
      <c r="Y8" s="25">
        <v>459.09243344331554</v>
      </c>
      <c r="Z8" s="25">
        <v>411.6866935969972</v>
      </c>
      <c r="AA8" s="25">
        <v>3418.8732541464706</v>
      </c>
      <c r="AB8" s="25">
        <v>405.04935182657493</v>
      </c>
      <c r="AC8" s="25">
        <v>476.55425025951706</v>
      </c>
      <c r="AD8" s="32">
        <v>422.1</v>
      </c>
      <c r="AE8" s="32">
        <v>138.13249999999999</v>
      </c>
      <c r="AF8" s="23" t="s">
        <v>183</v>
      </c>
      <c r="AG8" s="33">
        <v>98</v>
      </c>
      <c r="AH8" s="33">
        <v>16.399999999999999</v>
      </c>
      <c r="AI8" s="34">
        <f t="shared" si="1"/>
        <v>140.95153061224491</v>
      </c>
      <c r="AJ8" s="34">
        <f t="shared" si="2"/>
        <v>842.27134146341473</v>
      </c>
      <c r="AK8" s="35">
        <v>98</v>
      </c>
      <c r="AL8" s="36">
        <f t="shared" si="3"/>
        <v>140.95153061224491</v>
      </c>
      <c r="AM8" s="37">
        <v>16.399999999999999</v>
      </c>
      <c r="AN8" s="38">
        <f t="shared" si="4"/>
        <v>842.27134146341473</v>
      </c>
      <c r="AO8" s="39">
        <v>1149260.58841744</v>
      </c>
      <c r="AP8" s="39">
        <v>122403877.144337</v>
      </c>
      <c r="AQ8" s="39">
        <v>4067840.9718399998</v>
      </c>
      <c r="AR8" s="39">
        <v>7897840.8135752901</v>
      </c>
      <c r="AT8" s="47">
        <v>0.12967959527799999</v>
      </c>
      <c r="AU8" s="47">
        <v>0.52630691399700003</v>
      </c>
      <c r="AV8" s="47">
        <v>3.37268128162E-4</v>
      </c>
      <c r="AW8" s="47">
        <v>3.4401349072499997E-2</v>
      </c>
      <c r="AX8" s="47">
        <v>0</v>
      </c>
      <c r="AY8" s="47">
        <v>0.30927487352400002</v>
      </c>
      <c r="AZ8" s="47">
        <v>0</v>
      </c>
      <c r="BA8" s="47">
        <v>0</v>
      </c>
      <c r="BB8" s="47">
        <v>0</v>
      </c>
      <c r="BC8" s="47">
        <v>0</v>
      </c>
      <c r="BD8" s="47">
        <v>0</v>
      </c>
      <c r="BE8" s="47">
        <v>0</v>
      </c>
      <c r="BF8" s="47">
        <v>0</v>
      </c>
      <c r="BG8" s="48"/>
      <c r="BH8" s="43">
        <v>0</v>
      </c>
      <c r="BI8" s="43">
        <v>0</v>
      </c>
      <c r="BJ8" s="43">
        <v>0</v>
      </c>
      <c r="BK8" s="43">
        <v>0</v>
      </c>
      <c r="BL8" s="43">
        <v>0</v>
      </c>
      <c r="BM8" s="43">
        <v>0</v>
      </c>
      <c r="BN8" s="43">
        <v>0</v>
      </c>
      <c r="BO8" s="43">
        <v>0</v>
      </c>
      <c r="BP8" s="43">
        <v>0</v>
      </c>
      <c r="BQ8" s="43">
        <v>1.5177065767300001E-3</v>
      </c>
      <c r="BR8" s="43">
        <v>0</v>
      </c>
      <c r="BS8" s="43">
        <v>0</v>
      </c>
      <c r="BT8" s="43">
        <v>0.166779089376</v>
      </c>
      <c r="BU8" s="43">
        <v>0</v>
      </c>
      <c r="BV8" s="43">
        <v>0</v>
      </c>
      <c r="BW8" s="43">
        <v>0</v>
      </c>
      <c r="BX8" s="43">
        <v>0.14097807757200001</v>
      </c>
      <c r="BY8" s="43">
        <v>0</v>
      </c>
      <c r="BZ8" s="43">
        <v>0</v>
      </c>
      <c r="CA8" s="43">
        <v>0</v>
      </c>
      <c r="CB8" s="43">
        <v>3.06913996627E-2</v>
      </c>
      <c r="CC8" s="43">
        <v>0</v>
      </c>
      <c r="CD8" s="43">
        <v>0</v>
      </c>
      <c r="CE8" s="43">
        <v>2.8667790893799998E-3</v>
      </c>
      <c r="CF8" s="43">
        <v>0</v>
      </c>
      <c r="CG8" s="43">
        <v>0</v>
      </c>
      <c r="CH8" s="43">
        <v>5.0590219224299997E-4</v>
      </c>
      <c r="CI8" s="43">
        <v>0</v>
      </c>
      <c r="CJ8" s="43">
        <v>0</v>
      </c>
      <c r="CK8" s="43">
        <v>3.37268128162E-4</v>
      </c>
      <c r="CL8" s="43">
        <v>0</v>
      </c>
      <c r="CM8" s="43">
        <v>0</v>
      </c>
      <c r="CN8" s="43">
        <v>0</v>
      </c>
      <c r="CO8" s="43">
        <v>0</v>
      </c>
      <c r="CP8" s="43">
        <v>0</v>
      </c>
      <c r="CQ8" s="43">
        <v>0</v>
      </c>
      <c r="CR8" s="43">
        <v>0</v>
      </c>
      <c r="CS8" s="43">
        <v>8.4317032040500002E-4</v>
      </c>
      <c r="CT8" s="43">
        <v>0</v>
      </c>
      <c r="CU8" s="43">
        <v>8.4317032040500002E-4</v>
      </c>
      <c r="CV8" s="43">
        <v>0</v>
      </c>
      <c r="CW8" s="43">
        <v>1.85497470489E-3</v>
      </c>
      <c r="CX8" s="43">
        <v>0</v>
      </c>
      <c r="CY8" s="43">
        <v>0</v>
      </c>
      <c r="CZ8" s="43">
        <v>3.87858347386E-3</v>
      </c>
      <c r="DA8" s="43">
        <v>0</v>
      </c>
      <c r="DB8" s="43">
        <v>0</v>
      </c>
      <c r="DC8" s="43">
        <v>0</v>
      </c>
      <c r="DD8" s="43">
        <v>0.25750421585200001</v>
      </c>
      <c r="DE8" s="43">
        <v>0</v>
      </c>
      <c r="DF8" s="43">
        <v>0</v>
      </c>
      <c r="DG8" s="43">
        <v>5.3288364249599998E-2</v>
      </c>
      <c r="DH8" s="43">
        <v>5.5649241146699998E-3</v>
      </c>
      <c r="DI8" s="43">
        <v>0</v>
      </c>
      <c r="DJ8" s="43">
        <v>0</v>
      </c>
      <c r="DK8" s="43">
        <v>4.89038785835E-3</v>
      </c>
      <c r="DL8" s="43">
        <v>0</v>
      </c>
      <c r="DM8" s="43">
        <v>0</v>
      </c>
      <c r="DN8" s="43">
        <v>0</v>
      </c>
      <c r="DO8" s="43">
        <v>0</v>
      </c>
      <c r="DP8" s="43">
        <v>0</v>
      </c>
      <c r="DQ8" s="43">
        <v>4.5699831365900001E-2</v>
      </c>
      <c r="DR8" s="43">
        <v>2.1922428330500001E-3</v>
      </c>
      <c r="DS8" s="43">
        <v>5.2107925801000002E-2</v>
      </c>
      <c r="DT8" s="43">
        <v>5.0590219224299997E-4</v>
      </c>
      <c r="DU8" s="43">
        <v>1.4502529510999999E-2</v>
      </c>
      <c r="DV8" s="43">
        <v>0</v>
      </c>
      <c r="DW8" s="43">
        <v>0</v>
      </c>
      <c r="DX8" s="43">
        <v>0</v>
      </c>
      <c r="DY8" s="43">
        <v>0</v>
      </c>
      <c r="DZ8" s="43">
        <v>1.6357504215900001E-2</v>
      </c>
      <c r="EA8" s="43">
        <v>1.68634064081E-3</v>
      </c>
      <c r="EB8" s="43">
        <v>1.68634064081E-3</v>
      </c>
      <c r="EC8" s="43">
        <v>0</v>
      </c>
      <c r="ED8" s="43">
        <v>2.7487352445200001E-2</v>
      </c>
      <c r="EE8" s="43">
        <v>0</v>
      </c>
      <c r="EF8" s="43">
        <v>0</v>
      </c>
      <c r="EG8" s="43">
        <v>3.17032040472E-2</v>
      </c>
      <c r="EH8" s="43">
        <v>0</v>
      </c>
      <c r="EI8" s="43">
        <v>0</v>
      </c>
      <c r="EJ8" s="43">
        <v>0</v>
      </c>
      <c r="EK8" s="43">
        <v>0</v>
      </c>
      <c r="EL8" s="43">
        <v>0</v>
      </c>
      <c r="EM8" s="43">
        <v>0</v>
      </c>
      <c r="EN8" s="43">
        <v>2.0236087689700002E-3</v>
      </c>
      <c r="EO8" s="43">
        <v>0</v>
      </c>
      <c r="EP8" s="43">
        <v>1.3490725126499999E-3</v>
      </c>
      <c r="EQ8" s="43">
        <v>0</v>
      </c>
      <c r="ER8" s="43">
        <v>0</v>
      </c>
      <c r="ES8" s="43">
        <v>0</v>
      </c>
      <c r="ET8" s="43">
        <v>3.37268128162E-4</v>
      </c>
      <c r="EU8" s="43">
        <v>0</v>
      </c>
      <c r="EV8" s="43">
        <v>0</v>
      </c>
      <c r="EW8" s="43">
        <v>0</v>
      </c>
      <c r="EX8" s="43">
        <v>0</v>
      </c>
      <c r="EY8" s="43">
        <v>0</v>
      </c>
      <c r="EZ8" s="43">
        <v>0</v>
      </c>
      <c r="FA8" s="43">
        <v>0</v>
      </c>
      <c r="FB8" s="43">
        <v>0</v>
      </c>
      <c r="FC8" s="43">
        <v>0</v>
      </c>
      <c r="FD8" s="43">
        <v>0</v>
      </c>
      <c r="FE8" s="43">
        <v>0</v>
      </c>
      <c r="FF8" s="43">
        <v>0</v>
      </c>
      <c r="FG8" s="43">
        <v>0</v>
      </c>
      <c r="FH8" s="43">
        <v>0</v>
      </c>
      <c r="FI8" s="43">
        <v>0</v>
      </c>
      <c r="FJ8" s="43">
        <v>0</v>
      </c>
      <c r="FK8" s="43">
        <v>0</v>
      </c>
      <c r="FL8" s="43">
        <v>0</v>
      </c>
      <c r="FM8" s="43">
        <v>0</v>
      </c>
      <c r="FN8" s="43">
        <v>0</v>
      </c>
      <c r="FO8" s="43">
        <v>0</v>
      </c>
      <c r="FP8" s="43">
        <v>0</v>
      </c>
      <c r="FQ8" s="43">
        <v>0</v>
      </c>
      <c r="FR8" s="43">
        <v>3.37268128162E-4</v>
      </c>
      <c r="FS8" s="43">
        <v>0</v>
      </c>
      <c r="FT8" s="43">
        <v>0</v>
      </c>
      <c r="FU8" s="43">
        <v>0</v>
      </c>
      <c r="FV8" s="43">
        <v>0</v>
      </c>
      <c r="FW8" s="43">
        <v>0</v>
      </c>
      <c r="FX8" s="43">
        <v>0</v>
      </c>
      <c r="FY8" s="43">
        <v>0</v>
      </c>
      <c r="FZ8" s="43">
        <v>0</v>
      </c>
      <c r="GA8" s="43">
        <v>0</v>
      </c>
      <c r="GB8" s="43">
        <v>0</v>
      </c>
      <c r="GC8" s="43">
        <v>0.12967959527799999</v>
      </c>
      <c r="GD8" s="43">
        <v>0</v>
      </c>
    </row>
    <row r="9" spans="1:186" ht="16.5" x14ac:dyDescent="0.3">
      <c r="A9" s="21" t="s">
        <v>209</v>
      </c>
      <c r="B9" s="22" t="s">
        <v>1</v>
      </c>
      <c r="C9" s="23">
        <v>11</v>
      </c>
      <c r="D9" s="23" t="s">
        <v>183</v>
      </c>
      <c r="E9" s="24" t="s">
        <v>184</v>
      </c>
      <c r="F9" s="25" t="s">
        <v>210</v>
      </c>
      <c r="G9" s="26" t="s">
        <v>1</v>
      </c>
      <c r="H9" s="26" t="s">
        <v>184</v>
      </c>
      <c r="I9" s="27">
        <v>11</v>
      </c>
      <c r="J9" s="27">
        <v>156</v>
      </c>
      <c r="K9" s="27">
        <v>40</v>
      </c>
      <c r="L9" s="28">
        <f t="shared" si="0"/>
        <v>16.436554898093359</v>
      </c>
      <c r="M9" s="29">
        <v>35</v>
      </c>
      <c r="N9" s="30" t="s">
        <v>186</v>
      </c>
      <c r="O9" s="30" t="s">
        <v>186</v>
      </c>
      <c r="P9" s="30" t="s">
        <v>186</v>
      </c>
      <c r="Q9" s="30" t="s">
        <v>186</v>
      </c>
      <c r="R9" s="30" t="s">
        <v>186</v>
      </c>
      <c r="S9" s="31" t="s">
        <v>186</v>
      </c>
      <c r="T9" s="30" t="s">
        <v>186</v>
      </c>
      <c r="U9" s="30" t="s">
        <v>211</v>
      </c>
      <c r="V9" s="30" t="s">
        <v>207</v>
      </c>
      <c r="W9" s="30" t="s">
        <v>186</v>
      </c>
      <c r="X9" s="25">
        <v>3570.8335010223623</v>
      </c>
      <c r="Y9" s="25">
        <v>901.2091863507078</v>
      </c>
      <c r="Z9" s="25">
        <v>361.83205981973992</v>
      </c>
      <c r="AA9" s="25">
        <v>3977.8502533056226</v>
      </c>
      <c r="AB9" s="25">
        <v>322.31178508651266</v>
      </c>
      <c r="AC9" s="25">
        <v>727.31346830278699</v>
      </c>
      <c r="AD9" s="32">
        <v>380.25</v>
      </c>
      <c r="AE9" s="32">
        <v>37.5075</v>
      </c>
      <c r="AF9" s="23" t="s">
        <v>183</v>
      </c>
      <c r="AG9" s="33">
        <v>66.2</v>
      </c>
      <c r="AH9" s="33">
        <v>14.7</v>
      </c>
      <c r="AI9" s="34">
        <f t="shared" si="1"/>
        <v>56.657854984894264</v>
      </c>
      <c r="AJ9" s="34">
        <f t="shared" si="2"/>
        <v>255.15306122448979</v>
      </c>
      <c r="AK9" s="35">
        <v>66.2</v>
      </c>
      <c r="AL9" s="36">
        <f t="shared" si="3"/>
        <v>56.657854984894264</v>
      </c>
      <c r="AM9" s="37">
        <v>14.7</v>
      </c>
      <c r="AN9" s="38">
        <f t="shared" si="4"/>
        <v>255.15306122448979</v>
      </c>
      <c r="AO9" s="39">
        <v>2740303.6294612698</v>
      </c>
      <c r="AP9" s="39">
        <v>11034881.8621163</v>
      </c>
      <c r="AQ9" s="39">
        <v>3806173.95205821</v>
      </c>
      <c r="AR9" s="39">
        <v>85533116.682741895</v>
      </c>
      <c r="AT9" s="47">
        <v>6.6779089376099998E-2</v>
      </c>
      <c r="AU9" s="47">
        <v>0.59156829679599998</v>
      </c>
      <c r="AV9" s="47">
        <v>0</v>
      </c>
      <c r="AW9" s="47">
        <v>2.0236087689700002E-3</v>
      </c>
      <c r="AX9" s="47">
        <v>0</v>
      </c>
      <c r="AY9" s="47">
        <v>0.33962900505900001</v>
      </c>
      <c r="AZ9" s="47">
        <v>0</v>
      </c>
      <c r="BA9" s="47">
        <v>0</v>
      </c>
      <c r="BB9" s="47">
        <v>0</v>
      </c>
      <c r="BC9" s="47">
        <v>0</v>
      </c>
      <c r="BD9" s="47">
        <v>0</v>
      </c>
      <c r="BE9" s="47">
        <v>0</v>
      </c>
      <c r="BF9" s="47">
        <v>0</v>
      </c>
      <c r="BG9" s="48"/>
      <c r="BH9" s="43">
        <v>0</v>
      </c>
      <c r="BI9" s="43">
        <v>0</v>
      </c>
      <c r="BJ9" s="43">
        <v>0</v>
      </c>
      <c r="BK9" s="43">
        <v>0</v>
      </c>
      <c r="BL9" s="43">
        <v>0</v>
      </c>
      <c r="BM9" s="43">
        <v>0</v>
      </c>
      <c r="BN9" s="43">
        <v>0</v>
      </c>
      <c r="BO9" s="43">
        <v>0</v>
      </c>
      <c r="BP9" s="43">
        <v>0</v>
      </c>
      <c r="BQ9" s="43">
        <v>1.18043844857E-3</v>
      </c>
      <c r="BR9" s="43">
        <v>0</v>
      </c>
      <c r="BS9" s="43">
        <v>0</v>
      </c>
      <c r="BT9" s="43">
        <v>0.26239460371000001</v>
      </c>
      <c r="BU9" s="43">
        <v>1.85497470489E-2</v>
      </c>
      <c r="BV9" s="43">
        <v>0</v>
      </c>
      <c r="BW9" s="43">
        <v>0</v>
      </c>
      <c r="BX9" s="43">
        <v>5.7504215851600003E-2</v>
      </c>
      <c r="BY9" s="43">
        <v>0</v>
      </c>
      <c r="BZ9" s="43">
        <v>0</v>
      </c>
      <c r="CA9" s="43">
        <v>0</v>
      </c>
      <c r="CB9" s="43">
        <v>1.5177065767300001E-3</v>
      </c>
      <c r="CC9" s="43">
        <v>0</v>
      </c>
      <c r="CD9" s="43">
        <v>0</v>
      </c>
      <c r="CE9" s="43">
        <v>0</v>
      </c>
      <c r="CF9" s="43">
        <v>0</v>
      </c>
      <c r="CG9" s="43">
        <v>0</v>
      </c>
      <c r="CH9" s="43">
        <v>0</v>
      </c>
      <c r="CI9" s="43">
        <v>0</v>
      </c>
      <c r="CJ9" s="43">
        <v>0</v>
      </c>
      <c r="CK9" s="43">
        <v>0</v>
      </c>
      <c r="CL9" s="43">
        <v>0</v>
      </c>
      <c r="CM9" s="43">
        <v>5.0590219224299997E-4</v>
      </c>
      <c r="CN9" s="43">
        <v>0</v>
      </c>
      <c r="CO9" s="43">
        <v>0</v>
      </c>
      <c r="CP9" s="43">
        <v>0</v>
      </c>
      <c r="CQ9" s="43">
        <v>0</v>
      </c>
      <c r="CR9" s="43">
        <v>0</v>
      </c>
      <c r="CS9" s="43">
        <v>0</v>
      </c>
      <c r="CT9" s="43">
        <v>0</v>
      </c>
      <c r="CU9" s="43">
        <v>0</v>
      </c>
      <c r="CV9" s="43">
        <v>0</v>
      </c>
      <c r="CW9" s="43">
        <v>1.18043844857E-3</v>
      </c>
      <c r="CX9" s="43">
        <v>0</v>
      </c>
      <c r="CY9" s="43">
        <v>0</v>
      </c>
      <c r="CZ9" s="43">
        <v>0</v>
      </c>
      <c r="DA9" s="43">
        <v>0</v>
      </c>
      <c r="DB9" s="43">
        <v>4.89038785835E-3</v>
      </c>
      <c r="DC9" s="43">
        <v>1.02866779089E-2</v>
      </c>
      <c r="DD9" s="43">
        <v>7.8246205733599999E-2</v>
      </c>
      <c r="DE9" s="43">
        <v>0</v>
      </c>
      <c r="DF9" s="43">
        <v>0</v>
      </c>
      <c r="DG9" s="43">
        <v>3.37268128162E-4</v>
      </c>
      <c r="DH9" s="43">
        <v>0</v>
      </c>
      <c r="DI9" s="43">
        <v>0</v>
      </c>
      <c r="DJ9" s="43">
        <v>3.06913996627E-2</v>
      </c>
      <c r="DK9" s="43">
        <v>0</v>
      </c>
      <c r="DL9" s="43">
        <v>0</v>
      </c>
      <c r="DM9" s="43">
        <v>0</v>
      </c>
      <c r="DN9" s="43">
        <v>0</v>
      </c>
      <c r="DO9" s="43">
        <v>0</v>
      </c>
      <c r="DP9" s="43">
        <v>0</v>
      </c>
      <c r="DQ9" s="43">
        <v>0.136256323777</v>
      </c>
      <c r="DR9" s="43">
        <v>1.68634064081E-3</v>
      </c>
      <c r="DS9" s="43">
        <v>4.8060708263100001E-2</v>
      </c>
      <c r="DT9" s="43">
        <v>5.7335581787499998E-3</v>
      </c>
      <c r="DU9" s="43">
        <v>0</v>
      </c>
      <c r="DV9" s="43">
        <v>0</v>
      </c>
      <c r="DW9" s="43">
        <v>0</v>
      </c>
      <c r="DX9" s="43">
        <v>0</v>
      </c>
      <c r="DY9" s="43">
        <v>0</v>
      </c>
      <c r="DZ9" s="43">
        <v>0</v>
      </c>
      <c r="EA9" s="43">
        <v>0</v>
      </c>
      <c r="EB9" s="43">
        <v>0</v>
      </c>
      <c r="EC9" s="43">
        <v>0</v>
      </c>
      <c r="ED9" s="43">
        <v>8.1450252951100005E-2</v>
      </c>
      <c r="EE9" s="43">
        <v>0.10370994941</v>
      </c>
      <c r="EF9" s="43">
        <v>0</v>
      </c>
      <c r="EG9" s="43">
        <v>6.74536256324E-4</v>
      </c>
      <c r="EH9" s="43">
        <v>0</v>
      </c>
      <c r="EI9" s="43">
        <v>0</v>
      </c>
      <c r="EJ9" s="43">
        <v>0</v>
      </c>
      <c r="EK9" s="43">
        <v>0</v>
      </c>
      <c r="EL9" s="43">
        <v>0</v>
      </c>
      <c r="EM9" s="43">
        <v>0</v>
      </c>
      <c r="EN9" s="43">
        <v>0</v>
      </c>
      <c r="EO9" s="43">
        <v>0</v>
      </c>
      <c r="EP9" s="43">
        <v>0</v>
      </c>
      <c r="EQ9" s="43">
        <v>0</v>
      </c>
      <c r="ER9" s="43">
        <v>0</v>
      </c>
      <c r="ES9" s="43">
        <v>0</v>
      </c>
      <c r="ET9" s="43">
        <v>0</v>
      </c>
      <c r="EU9" s="43">
        <v>0</v>
      </c>
      <c r="EV9" s="43">
        <v>0</v>
      </c>
      <c r="EW9" s="43">
        <v>0</v>
      </c>
      <c r="EX9" s="43">
        <v>0</v>
      </c>
      <c r="EY9" s="43">
        <v>8.7352445193899994E-2</v>
      </c>
      <c r="EZ9" s="43">
        <v>0</v>
      </c>
      <c r="FA9" s="43">
        <v>1.01180438449E-3</v>
      </c>
      <c r="FB9" s="43">
        <v>0</v>
      </c>
      <c r="FC9" s="43">
        <v>0</v>
      </c>
      <c r="FD9" s="43">
        <v>0</v>
      </c>
      <c r="FE9" s="43">
        <v>0</v>
      </c>
      <c r="FF9" s="43">
        <v>0</v>
      </c>
      <c r="FG9" s="43">
        <v>0</v>
      </c>
      <c r="FH9" s="43">
        <v>0</v>
      </c>
      <c r="FI9" s="43">
        <v>0</v>
      </c>
      <c r="FJ9" s="43">
        <v>0</v>
      </c>
      <c r="FK9" s="43">
        <v>0</v>
      </c>
      <c r="FL9" s="43">
        <v>0</v>
      </c>
      <c r="FM9" s="43">
        <v>0</v>
      </c>
      <c r="FN9" s="43">
        <v>0</v>
      </c>
      <c r="FO9" s="43">
        <v>0</v>
      </c>
      <c r="FP9" s="43">
        <v>0</v>
      </c>
      <c r="FQ9" s="43">
        <v>0</v>
      </c>
      <c r="FR9" s="43">
        <v>0</v>
      </c>
      <c r="FS9" s="43">
        <v>0</v>
      </c>
      <c r="FT9" s="43">
        <v>0</v>
      </c>
      <c r="FU9" s="43">
        <v>0</v>
      </c>
      <c r="FV9" s="43">
        <v>0</v>
      </c>
      <c r="FW9" s="43">
        <v>0</v>
      </c>
      <c r="FX9" s="43">
        <v>0</v>
      </c>
      <c r="FY9" s="43">
        <v>0</v>
      </c>
      <c r="FZ9" s="43">
        <v>0</v>
      </c>
      <c r="GA9" s="43">
        <v>0</v>
      </c>
      <c r="GB9" s="43">
        <v>0</v>
      </c>
      <c r="GC9" s="43">
        <v>6.6779089376099998E-2</v>
      </c>
      <c r="GD9" s="43">
        <v>0</v>
      </c>
    </row>
    <row r="10" spans="1:186" ht="16.5" x14ac:dyDescent="0.3">
      <c r="A10" s="21" t="s">
        <v>212</v>
      </c>
      <c r="B10" s="22" t="s">
        <v>1</v>
      </c>
      <c r="C10" s="23">
        <v>15.92</v>
      </c>
      <c r="D10" s="23" t="s">
        <v>195</v>
      </c>
      <c r="E10" s="24" t="s">
        <v>184</v>
      </c>
      <c r="F10" s="25" t="s">
        <v>213</v>
      </c>
      <c r="G10" s="26" t="s">
        <v>1</v>
      </c>
      <c r="H10" s="26" t="s">
        <v>184</v>
      </c>
      <c r="I10" s="27">
        <v>16</v>
      </c>
      <c r="J10" s="27">
        <v>185</v>
      </c>
      <c r="K10" s="27">
        <v>79</v>
      </c>
      <c r="L10" s="28">
        <f t="shared" si="0"/>
        <v>23.082542001460919</v>
      </c>
      <c r="M10" s="29">
        <v>78</v>
      </c>
      <c r="N10" s="30" t="s">
        <v>186</v>
      </c>
      <c r="O10" s="30" t="s">
        <v>186</v>
      </c>
      <c r="P10" s="30" t="s">
        <v>186</v>
      </c>
      <c r="Q10" s="30" t="s">
        <v>186</v>
      </c>
      <c r="R10" s="30" t="s">
        <v>186</v>
      </c>
      <c r="S10" s="31" t="s">
        <v>186</v>
      </c>
      <c r="T10" s="30" t="s">
        <v>186</v>
      </c>
      <c r="U10" s="30" t="s">
        <v>214</v>
      </c>
      <c r="V10" s="30" t="s">
        <v>186</v>
      </c>
      <c r="W10" s="30" t="s">
        <v>186</v>
      </c>
      <c r="X10" s="25">
        <v>868.9349918831299</v>
      </c>
      <c r="Y10" s="25">
        <v>385.9194377486163</v>
      </c>
      <c r="Z10" s="25">
        <v>360.68936164447484</v>
      </c>
      <c r="AA10" s="25">
        <v>1067.6672055870156</v>
      </c>
      <c r="AB10" s="25">
        <v>375.63303912729384</v>
      </c>
      <c r="AC10" s="25">
        <v>396.72580470800813</v>
      </c>
      <c r="AD10" s="45">
        <v>800</v>
      </c>
      <c r="AE10" s="32">
        <v>50.497500000000002</v>
      </c>
      <c r="AF10" s="23" t="s">
        <v>195</v>
      </c>
      <c r="AG10" s="33">
        <v>54.4</v>
      </c>
      <c r="AH10" s="33">
        <v>13.9</v>
      </c>
      <c r="AI10" s="34">
        <f t="shared" si="1"/>
        <v>92.826286764705884</v>
      </c>
      <c r="AJ10" s="34">
        <f t="shared" si="2"/>
        <v>363.29136690647482</v>
      </c>
      <c r="AK10" s="35">
        <v>54.4</v>
      </c>
      <c r="AL10" s="36">
        <f t="shared" si="3"/>
        <v>92.826286764705884</v>
      </c>
      <c r="AM10" s="37">
        <v>13.9</v>
      </c>
      <c r="AN10" s="38">
        <f t="shared" si="4"/>
        <v>363.29136690647482</v>
      </c>
      <c r="AO10" s="39">
        <v>4103578.2774730902</v>
      </c>
      <c r="AP10" s="39">
        <v>8794138.9184735101</v>
      </c>
      <c r="AQ10" s="39">
        <v>3651646.7345975898</v>
      </c>
      <c r="AR10" s="39">
        <v>2707310.2809175798</v>
      </c>
      <c r="AT10" s="47">
        <v>0.107925801012</v>
      </c>
      <c r="AU10" s="47">
        <v>0.42563237774000001</v>
      </c>
      <c r="AV10" s="47">
        <v>0</v>
      </c>
      <c r="AW10" s="47">
        <v>5.8516020236100003E-2</v>
      </c>
      <c r="AX10" s="47">
        <v>0</v>
      </c>
      <c r="AY10" s="47">
        <v>0.40758853288399999</v>
      </c>
      <c r="AZ10" s="47">
        <v>0</v>
      </c>
      <c r="BA10" s="47">
        <v>0</v>
      </c>
      <c r="BB10" s="47">
        <v>3.37268128162E-4</v>
      </c>
      <c r="BC10" s="47">
        <v>0</v>
      </c>
      <c r="BD10" s="47">
        <v>0</v>
      </c>
      <c r="BE10" s="47">
        <v>0</v>
      </c>
      <c r="BF10" s="47">
        <v>0</v>
      </c>
      <c r="BG10" s="48"/>
      <c r="BH10" s="43">
        <v>3.37268128162E-4</v>
      </c>
      <c r="BI10" s="43">
        <v>0</v>
      </c>
      <c r="BJ10" s="43">
        <v>0</v>
      </c>
      <c r="BK10" s="43">
        <v>0</v>
      </c>
      <c r="BL10" s="43">
        <v>0</v>
      </c>
      <c r="BM10" s="43">
        <v>1.5177065767300001E-3</v>
      </c>
      <c r="BN10" s="43">
        <v>0</v>
      </c>
      <c r="BO10" s="43">
        <v>0</v>
      </c>
      <c r="BP10" s="43">
        <v>0</v>
      </c>
      <c r="BQ10" s="43">
        <v>0</v>
      </c>
      <c r="BR10" s="43">
        <v>0</v>
      </c>
      <c r="BS10" s="43">
        <v>0</v>
      </c>
      <c r="BT10" s="43">
        <v>0.30522765598700002</v>
      </c>
      <c r="BU10" s="43">
        <v>4.2158516020200003E-3</v>
      </c>
      <c r="BV10" s="43">
        <v>1.9898819561600001E-2</v>
      </c>
      <c r="BW10" s="43">
        <v>0</v>
      </c>
      <c r="BX10" s="43">
        <v>7.6728499156799995E-2</v>
      </c>
      <c r="BY10" s="43">
        <v>0</v>
      </c>
      <c r="BZ10" s="43">
        <v>0</v>
      </c>
      <c r="CA10" s="43">
        <v>0</v>
      </c>
      <c r="CB10" s="43">
        <v>4.1989881956200001E-2</v>
      </c>
      <c r="CC10" s="43">
        <v>4.2158516020200003E-3</v>
      </c>
      <c r="CD10" s="43">
        <v>0</v>
      </c>
      <c r="CE10" s="43">
        <v>3.37268128162E-4</v>
      </c>
      <c r="CF10" s="43">
        <v>0</v>
      </c>
      <c r="CG10" s="43">
        <v>5.5649241146699998E-3</v>
      </c>
      <c r="CH10" s="43">
        <v>2.3608768971300001E-3</v>
      </c>
      <c r="CI10" s="43">
        <v>3.0354131534600002E-3</v>
      </c>
      <c r="CJ10" s="43">
        <v>1.01180438449E-3</v>
      </c>
      <c r="CK10" s="43">
        <v>0</v>
      </c>
      <c r="CL10" s="43">
        <v>0</v>
      </c>
      <c r="CM10" s="43">
        <v>0</v>
      </c>
      <c r="CN10" s="43">
        <v>0</v>
      </c>
      <c r="CO10" s="43">
        <v>0</v>
      </c>
      <c r="CP10" s="43">
        <v>0</v>
      </c>
      <c r="CQ10" s="43">
        <v>0</v>
      </c>
      <c r="CR10" s="43">
        <v>0</v>
      </c>
      <c r="CS10" s="43">
        <v>0</v>
      </c>
      <c r="CT10" s="43">
        <v>4.89038785835E-3</v>
      </c>
      <c r="CU10" s="43">
        <v>0</v>
      </c>
      <c r="CV10" s="43">
        <v>0</v>
      </c>
      <c r="CW10" s="43">
        <v>0</v>
      </c>
      <c r="CX10" s="43">
        <v>0</v>
      </c>
      <c r="CY10" s="43">
        <v>0</v>
      </c>
      <c r="CZ10" s="43">
        <v>0</v>
      </c>
      <c r="DA10" s="43">
        <v>0</v>
      </c>
      <c r="DB10" s="43">
        <v>0</v>
      </c>
      <c r="DC10" s="43">
        <v>0</v>
      </c>
      <c r="DD10" s="43">
        <v>0</v>
      </c>
      <c r="DE10" s="43">
        <v>0</v>
      </c>
      <c r="DF10" s="43">
        <v>0</v>
      </c>
      <c r="DG10" s="43">
        <v>2.7318718381100001E-2</v>
      </c>
      <c r="DH10" s="43">
        <v>1.0118043844900001E-2</v>
      </c>
      <c r="DI10" s="43">
        <v>0</v>
      </c>
      <c r="DJ10" s="43">
        <v>3.3726812816200001E-3</v>
      </c>
      <c r="DK10" s="43">
        <v>5.0590219224299999E-3</v>
      </c>
      <c r="DL10" s="43">
        <v>0</v>
      </c>
      <c r="DM10" s="43">
        <v>1.01180438449E-3</v>
      </c>
      <c r="DN10" s="43">
        <v>0</v>
      </c>
      <c r="DO10" s="43">
        <v>0</v>
      </c>
      <c r="DP10" s="43">
        <v>5.0590219224299997E-4</v>
      </c>
      <c r="DQ10" s="43">
        <v>8.3305227656E-2</v>
      </c>
      <c r="DR10" s="43">
        <v>0</v>
      </c>
      <c r="DS10" s="43">
        <v>3.5750421585199997E-2</v>
      </c>
      <c r="DT10" s="43">
        <v>6.9139966273200001E-3</v>
      </c>
      <c r="DU10" s="43">
        <v>5.0590219224299997E-4</v>
      </c>
      <c r="DV10" s="43">
        <v>0</v>
      </c>
      <c r="DW10" s="43">
        <v>0</v>
      </c>
      <c r="DX10" s="43">
        <v>0</v>
      </c>
      <c r="DY10" s="43">
        <v>0</v>
      </c>
      <c r="DZ10" s="43">
        <v>1.97301854975E-2</v>
      </c>
      <c r="EA10" s="43">
        <v>0</v>
      </c>
      <c r="EB10" s="43">
        <v>8.4822934232700001E-2</v>
      </c>
      <c r="EC10" s="43">
        <v>0</v>
      </c>
      <c r="ED10" s="43">
        <v>0.106408094435</v>
      </c>
      <c r="EE10" s="43">
        <v>0</v>
      </c>
      <c r="EF10" s="43">
        <v>1.51770657673E-2</v>
      </c>
      <c r="EG10" s="43">
        <v>3.87858347386E-3</v>
      </c>
      <c r="EH10" s="43">
        <v>0</v>
      </c>
      <c r="EI10" s="43">
        <v>0</v>
      </c>
      <c r="EJ10" s="43">
        <v>0</v>
      </c>
      <c r="EK10" s="43">
        <v>0</v>
      </c>
      <c r="EL10" s="43">
        <v>0</v>
      </c>
      <c r="EM10" s="43">
        <v>0</v>
      </c>
      <c r="EN10" s="43">
        <v>0</v>
      </c>
      <c r="EO10" s="43">
        <v>0</v>
      </c>
      <c r="EP10" s="43">
        <v>7.58853288364E-3</v>
      </c>
      <c r="EQ10" s="43">
        <v>0</v>
      </c>
      <c r="ER10" s="43">
        <v>0</v>
      </c>
      <c r="ES10" s="43">
        <v>0</v>
      </c>
      <c r="ET10" s="43">
        <v>0</v>
      </c>
      <c r="EU10" s="43">
        <v>8.4317032040500002E-4</v>
      </c>
      <c r="EV10" s="43">
        <v>6.74536256324E-4</v>
      </c>
      <c r="EW10" s="43">
        <v>0</v>
      </c>
      <c r="EX10" s="43">
        <v>0</v>
      </c>
      <c r="EY10" s="43">
        <v>7.7571669477199999E-3</v>
      </c>
      <c r="EZ10" s="43">
        <v>0</v>
      </c>
      <c r="FA10" s="43">
        <v>0</v>
      </c>
      <c r="FB10" s="43">
        <v>0</v>
      </c>
      <c r="FC10" s="43">
        <v>0</v>
      </c>
      <c r="FD10" s="43">
        <v>0</v>
      </c>
      <c r="FE10" s="43">
        <v>0</v>
      </c>
      <c r="FF10" s="43">
        <v>0</v>
      </c>
      <c r="FG10" s="43">
        <v>0</v>
      </c>
      <c r="FH10" s="43">
        <v>0</v>
      </c>
      <c r="FI10" s="43">
        <v>0</v>
      </c>
      <c r="FJ10" s="43">
        <v>0</v>
      </c>
      <c r="FK10" s="43">
        <v>0</v>
      </c>
      <c r="FL10" s="43">
        <v>0</v>
      </c>
      <c r="FM10" s="43">
        <v>0</v>
      </c>
      <c r="FN10" s="43">
        <v>0</v>
      </c>
      <c r="FO10" s="43">
        <v>0</v>
      </c>
      <c r="FP10" s="43">
        <v>0</v>
      </c>
      <c r="FQ10" s="43">
        <v>0</v>
      </c>
      <c r="FR10" s="43">
        <v>0</v>
      </c>
      <c r="FS10" s="43">
        <v>0</v>
      </c>
      <c r="FT10" s="43">
        <v>0</v>
      </c>
      <c r="FU10" s="43">
        <v>0</v>
      </c>
      <c r="FV10" s="43">
        <v>0</v>
      </c>
      <c r="FW10" s="43">
        <v>0</v>
      </c>
      <c r="FX10" s="43">
        <v>0</v>
      </c>
      <c r="FY10" s="43">
        <v>0</v>
      </c>
      <c r="FZ10" s="43">
        <v>0</v>
      </c>
      <c r="GA10" s="43">
        <v>0</v>
      </c>
      <c r="GB10" s="43">
        <v>0</v>
      </c>
      <c r="GC10" s="43">
        <v>0.107925801012</v>
      </c>
      <c r="GD10" s="43">
        <v>0</v>
      </c>
    </row>
    <row r="11" spans="1:186" ht="16.5" x14ac:dyDescent="0.3">
      <c r="A11" s="21" t="s">
        <v>215</v>
      </c>
      <c r="B11" s="22" t="s">
        <v>1</v>
      </c>
      <c r="C11" s="23">
        <v>12.25</v>
      </c>
      <c r="D11" s="23" t="s">
        <v>195</v>
      </c>
      <c r="E11" s="24" t="s">
        <v>184</v>
      </c>
      <c r="F11" s="25" t="s">
        <v>216</v>
      </c>
      <c r="G11" s="26" t="s">
        <v>1</v>
      </c>
      <c r="H11" s="26" t="s">
        <v>184</v>
      </c>
      <c r="I11" s="27">
        <v>12</v>
      </c>
      <c r="J11" s="27">
        <v>154</v>
      </c>
      <c r="K11" s="27">
        <v>37</v>
      </c>
      <c r="L11" s="28">
        <f t="shared" si="0"/>
        <v>15.60128183504807</v>
      </c>
      <c r="M11" s="29">
        <v>12</v>
      </c>
      <c r="N11" s="30" t="s">
        <v>186</v>
      </c>
      <c r="O11" s="30" t="s">
        <v>186</v>
      </c>
      <c r="P11" s="30" t="s">
        <v>186</v>
      </c>
      <c r="Q11" s="30" t="s">
        <v>186</v>
      </c>
      <c r="R11" s="30" t="s">
        <v>186</v>
      </c>
      <c r="S11" s="31" t="s">
        <v>186</v>
      </c>
      <c r="T11" s="30" t="s">
        <v>186</v>
      </c>
      <c r="U11" s="30" t="s">
        <v>217</v>
      </c>
      <c r="V11" s="30" t="s">
        <v>186</v>
      </c>
      <c r="W11" s="30" t="s">
        <v>186</v>
      </c>
      <c r="X11" s="25">
        <v>1023.9746551304457</v>
      </c>
      <c r="Y11" s="25">
        <v>719.28761990241594</v>
      </c>
      <c r="Z11" s="25">
        <v>348.48764159471557</v>
      </c>
      <c r="AA11" s="25">
        <v>1126.6324654374839</v>
      </c>
      <c r="AB11" s="25">
        <v>329.53390565189159</v>
      </c>
      <c r="AC11" s="25">
        <v>1015.9085930617963</v>
      </c>
      <c r="AD11" s="32">
        <v>83.25</v>
      </c>
      <c r="AE11" s="32">
        <v>79.94</v>
      </c>
      <c r="AF11" s="23" t="s">
        <v>195</v>
      </c>
      <c r="AG11" s="33">
        <v>54.4</v>
      </c>
      <c r="AH11" s="33">
        <v>13.9</v>
      </c>
      <c r="AI11" s="34">
        <f t="shared" si="1"/>
        <v>146.9485294117647</v>
      </c>
      <c r="AJ11" s="34">
        <f t="shared" si="2"/>
        <v>575.10791366906471</v>
      </c>
      <c r="AK11" s="35">
        <v>54.4</v>
      </c>
      <c r="AL11" s="36">
        <f t="shared" si="3"/>
        <v>146.9485294117647</v>
      </c>
      <c r="AM11" s="37">
        <v>13.9</v>
      </c>
      <c r="AN11" s="38">
        <f t="shared" si="4"/>
        <v>575.10791366906471</v>
      </c>
      <c r="AO11" s="39">
        <v>1936268.70576967</v>
      </c>
      <c r="AP11" s="39">
        <v>383802090.05680001</v>
      </c>
      <c r="AQ11" s="39">
        <v>19501238.291843399</v>
      </c>
      <c r="AR11" s="39">
        <v>50349622.5746326</v>
      </c>
      <c r="AT11" s="47">
        <v>0</v>
      </c>
      <c r="AU11" s="47">
        <v>0.51804384485699995</v>
      </c>
      <c r="AV11" s="47">
        <v>4.2158516020200003E-3</v>
      </c>
      <c r="AW11" s="47">
        <v>3.1365935919100002E-2</v>
      </c>
      <c r="AX11" s="47">
        <v>3.37268128162E-4</v>
      </c>
      <c r="AY11" s="47">
        <v>0.44468802698100002</v>
      </c>
      <c r="AZ11" s="47">
        <v>0</v>
      </c>
      <c r="BA11" s="47">
        <v>0</v>
      </c>
      <c r="BB11" s="47">
        <v>1.3490725126499999E-3</v>
      </c>
      <c r="BC11" s="47">
        <v>0</v>
      </c>
      <c r="BD11" s="47">
        <v>0</v>
      </c>
      <c r="BE11" s="47">
        <v>0</v>
      </c>
      <c r="BF11" s="47">
        <v>0</v>
      </c>
      <c r="BG11" s="48"/>
      <c r="BH11" s="43">
        <v>1.3490725126499999E-3</v>
      </c>
      <c r="BI11" s="43">
        <v>0</v>
      </c>
      <c r="BJ11" s="43">
        <v>0</v>
      </c>
      <c r="BK11" s="43">
        <v>0</v>
      </c>
      <c r="BL11" s="43">
        <v>0</v>
      </c>
      <c r="BM11" s="43">
        <v>5.0590219224299997E-4</v>
      </c>
      <c r="BN11" s="43">
        <v>0</v>
      </c>
      <c r="BO11" s="43">
        <v>0</v>
      </c>
      <c r="BP11" s="43">
        <v>0</v>
      </c>
      <c r="BQ11" s="43">
        <v>0</v>
      </c>
      <c r="BR11" s="43">
        <v>0</v>
      </c>
      <c r="BS11" s="43">
        <v>0</v>
      </c>
      <c r="BT11" s="43">
        <v>0.38060708263100002</v>
      </c>
      <c r="BU11" s="43">
        <v>0</v>
      </c>
      <c r="BV11" s="43">
        <v>8.0944350758899997E-3</v>
      </c>
      <c r="BW11" s="43">
        <v>1.14671163575E-2</v>
      </c>
      <c r="BX11" s="43">
        <v>4.4013490725100003E-2</v>
      </c>
      <c r="BY11" s="43">
        <v>0</v>
      </c>
      <c r="BZ11" s="43">
        <v>0</v>
      </c>
      <c r="CA11" s="43">
        <v>0</v>
      </c>
      <c r="CB11" s="43">
        <v>9.2748735244500002E-3</v>
      </c>
      <c r="CC11" s="43">
        <v>0</v>
      </c>
      <c r="CD11" s="43">
        <v>0</v>
      </c>
      <c r="CE11" s="43">
        <v>2.1585160202399999E-2</v>
      </c>
      <c r="CF11" s="43">
        <v>0</v>
      </c>
      <c r="CG11" s="43">
        <v>5.0590219224299997E-4</v>
      </c>
      <c r="CH11" s="43">
        <v>0</v>
      </c>
      <c r="CI11" s="43">
        <v>0</v>
      </c>
      <c r="CJ11" s="43">
        <v>0</v>
      </c>
      <c r="CK11" s="43">
        <v>0</v>
      </c>
      <c r="CL11" s="43">
        <v>0</v>
      </c>
      <c r="CM11" s="43">
        <v>0</v>
      </c>
      <c r="CN11" s="43">
        <v>0</v>
      </c>
      <c r="CO11" s="43">
        <v>0</v>
      </c>
      <c r="CP11" s="43">
        <v>0</v>
      </c>
      <c r="CQ11" s="43">
        <v>0</v>
      </c>
      <c r="CR11" s="43">
        <v>0</v>
      </c>
      <c r="CS11" s="43">
        <v>0</v>
      </c>
      <c r="CT11" s="43">
        <v>0</v>
      </c>
      <c r="CU11" s="43">
        <v>0</v>
      </c>
      <c r="CV11" s="43">
        <v>0</v>
      </c>
      <c r="CW11" s="43">
        <v>0</v>
      </c>
      <c r="CX11" s="43">
        <v>3.2040472175400001E-3</v>
      </c>
      <c r="CY11" s="43">
        <v>0</v>
      </c>
      <c r="CZ11" s="43">
        <v>2.8667790893799998E-3</v>
      </c>
      <c r="DA11" s="43">
        <v>0</v>
      </c>
      <c r="DB11" s="43">
        <v>0</v>
      </c>
      <c r="DC11" s="43">
        <v>1.01180438449E-3</v>
      </c>
      <c r="DD11" s="43">
        <v>1.68634064081E-3</v>
      </c>
      <c r="DE11" s="43">
        <v>0</v>
      </c>
      <c r="DF11" s="43">
        <v>0</v>
      </c>
      <c r="DG11" s="43">
        <v>6.7116357504200003E-2</v>
      </c>
      <c r="DH11" s="43">
        <v>0</v>
      </c>
      <c r="DI11" s="43">
        <v>0</v>
      </c>
      <c r="DJ11" s="43">
        <v>0</v>
      </c>
      <c r="DK11" s="43">
        <v>0</v>
      </c>
      <c r="DL11" s="43">
        <v>0</v>
      </c>
      <c r="DM11" s="43">
        <v>0</v>
      </c>
      <c r="DN11" s="43">
        <v>0</v>
      </c>
      <c r="DO11" s="43">
        <v>0</v>
      </c>
      <c r="DP11" s="43">
        <v>1.68634064081E-3</v>
      </c>
      <c r="DQ11" s="43">
        <v>0.108431703204</v>
      </c>
      <c r="DR11" s="43">
        <v>0</v>
      </c>
      <c r="DS11" s="43">
        <v>1.7875210792599999E-2</v>
      </c>
      <c r="DT11" s="43">
        <v>0</v>
      </c>
      <c r="DU11" s="43">
        <v>5.2276559865099999E-3</v>
      </c>
      <c r="DV11" s="43">
        <v>0</v>
      </c>
      <c r="DW11" s="43">
        <v>0</v>
      </c>
      <c r="DX11" s="43">
        <v>0</v>
      </c>
      <c r="DY11" s="43">
        <v>0</v>
      </c>
      <c r="DZ11" s="43">
        <v>1.82124789207E-2</v>
      </c>
      <c r="EA11" s="43">
        <v>0</v>
      </c>
      <c r="EB11" s="43">
        <v>0</v>
      </c>
      <c r="EC11" s="43">
        <v>0</v>
      </c>
      <c r="ED11" s="43">
        <v>3.9629005059000001E-2</v>
      </c>
      <c r="EE11" s="43">
        <v>0.19595278246200001</v>
      </c>
      <c r="EF11" s="43">
        <v>1.85497470489E-3</v>
      </c>
      <c r="EG11" s="43">
        <v>3.1028667790900001E-2</v>
      </c>
      <c r="EH11" s="43">
        <v>0</v>
      </c>
      <c r="EI11" s="43">
        <v>3.2040472175400001E-3</v>
      </c>
      <c r="EJ11" s="43">
        <v>0</v>
      </c>
      <c r="EK11" s="43">
        <v>1.3153456998300001E-2</v>
      </c>
      <c r="EL11" s="43">
        <v>0</v>
      </c>
      <c r="EM11" s="43">
        <v>0</v>
      </c>
      <c r="EN11" s="43">
        <v>0</v>
      </c>
      <c r="EO11" s="43">
        <v>0</v>
      </c>
      <c r="EP11" s="43">
        <v>4.89038785835E-3</v>
      </c>
      <c r="EQ11" s="43">
        <v>0</v>
      </c>
      <c r="ER11" s="43">
        <v>0</v>
      </c>
      <c r="ES11" s="43">
        <v>0</v>
      </c>
      <c r="ET11" s="43">
        <v>0</v>
      </c>
      <c r="EU11" s="43">
        <v>0</v>
      </c>
      <c r="EV11" s="43">
        <v>0</v>
      </c>
      <c r="EW11" s="43">
        <v>0</v>
      </c>
      <c r="EX11" s="43">
        <v>0</v>
      </c>
      <c r="EY11" s="43">
        <v>0</v>
      </c>
      <c r="EZ11" s="43">
        <v>0</v>
      </c>
      <c r="FA11" s="43">
        <v>0</v>
      </c>
      <c r="FB11" s="43">
        <v>0</v>
      </c>
      <c r="FC11" s="43">
        <v>1.01180438449E-3</v>
      </c>
      <c r="FD11" s="43">
        <v>0</v>
      </c>
      <c r="FE11" s="43">
        <v>0</v>
      </c>
      <c r="FF11" s="43">
        <v>0</v>
      </c>
      <c r="FG11" s="43">
        <v>0</v>
      </c>
      <c r="FH11" s="43">
        <v>0</v>
      </c>
      <c r="FI11" s="43">
        <v>0</v>
      </c>
      <c r="FJ11" s="43">
        <v>0</v>
      </c>
      <c r="FK11" s="43">
        <v>0</v>
      </c>
      <c r="FL11" s="43">
        <v>0</v>
      </c>
      <c r="FM11" s="43">
        <v>0</v>
      </c>
      <c r="FN11" s="43">
        <v>0</v>
      </c>
      <c r="FO11" s="43">
        <v>4.2158516020200003E-3</v>
      </c>
      <c r="FP11" s="43">
        <v>0</v>
      </c>
      <c r="FQ11" s="43">
        <v>0</v>
      </c>
      <c r="FR11" s="43">
        <v>0</v>
      </c>
      <c r="FS11" s="43">
        <v>0</v>
      </c>
      <c r="FT11" s="43">
        <v>0</v>
      </c>
      <c r="FU11" s="43">
        <v>0</v>
      </c>
      <c r="FV11" s="43">
        <v>0</v>
      </c>
      <c r="FW11" s="43">
        <v>0</v>
      </c>
      <c r="FX11" s="43">
        <v>0</v>
      </c>
      <c r="FY11" s="43">
        <v>0</v>
      </c>
      <c r="FZ11" s="43">
        <v>3.37268128162E-4</v>
      </c>
      <c r="GA11" s="43">
        <v>0</v>
      </c>
      <c r="GB11" s="43">
        <v>0</v>
      </c>
      <c r="GC11" s="43">
        <v>0</v>
      </c>
      <c r="GD11" s="43">
        <v>0</v>
      </c>
    </row>
    <row r="12" spans="1:186" ht="16.5" x14ac:dyDescent="0.3">
      <c r="A12" s="21" t="s">
        <v>218</v>
      </c>
      <c r="B12" s="22" t="s">
        <v>1</v>
      </c>
      <c r="C12" s="23">
        <v>5</v>
      </c>
      <c r="D12" s="23" t="s">
        <v>183</v>
      </c>
      <c r="E12" s="24" t="s">
        <v>184</v>
      </c>
      <c r="F12" s="25" t="s">
        <v>219</v>
      </c>
      <c r="G12" s="26" t="s">
        <v>1</v>
      </c>
      <c r="H12" s="26" t="s">
        <v>184</v>
      </c>
      <c r="I12" s="27">
        <v>5</v>
      </c>
      <c r="J12" s="27">
        <v>116</v>
      </c>
      <c r="K12" s="27">
        <v>19</v>
      </c>
      <c r="L12" s="28">
        <f t="shared" si="0"/>
        <v>14.120095124851368</v>
      </c>
      <c r="M12" s="29">
        <v>10</v>
      </c>
      <c r="N12" s="30" t="s">
        <v>186</v>
      </c>
      <c r="O12" s="30" t="s">
        <v>186</v>
      </c>
      <c r="P12" s="30" t="s">
        <v>186</v>
      </c>
      <c r="Q12" s="30" t="s">
        <v>186</v>
      </c>
      <c r="R12" s="30" t="s">
        <v>186</v>
      </c>
      <c r="S12" s="31" t="s">
        <v>186</v>
      </c>
      <c r="T12" s="30" t="s">
        <v>186</v>
      </c>
      <c r="U12" s="30" t="s">
        <v>186</v>
      </c>
      <c r="V12" s="30" t="s">
        <v>220</v>
      </c>
      <c r="W12" s="30" t="s">
        <v>186</v>
      </c>
      <c r="X12" s="25">
        <v>1145.3835011557924</v>
      </c>
      <c r="Y12" s="25">
        <v>554.54511033213055</v>
      </c>
      <c r="Z12" s="25">
        <v>314.36666190561721</v>
      </c>
      <c r="AA12" s="25">
        <v>2413.112813612322</v>
      </c>
      <c r="AB12" s="25">
        <v>291.37743820372447</v>
      </c>
      <c r="AC12" s="25">
        <v>383.28675436788473</v>
      </c>
      <c r="AD12" s="49" t="s">
        <v>221</v>
      </c>
      <c r="AE12" s="49"/>
      <c r="AF12" s="23" t="s">
        <v>183</v>
      </c>
      <c r="AG12" s="33"/>
      <c r="AH12" s="33"/>
      <c r="AI12" s="34"/>
      <c r="AJ12" s="34"/>
      <c r="AK12" s="49" t="s">
        <v>221</v>
      </c>
      <c r="AL12" s="49" t="s">
        <v>221</v>
      </c>
      <c r="AM12" s="49" t="s">
        <v>221</v>
      </c>
      <c r="AN12" s="49" t="s">
        <v>221</v>
      </c>
      <c r="AO12" s="39">
        <v>7206431.5249533802</v>
      </c>
      <c r="AP12" s="39">
        <v>123843975.34248801</v>
      </c>
      <c r="AQ12" s="39">
        <v>6304078.2156867301</v>
      </c>
      <c r="AR12" s="39">
        <v>127205555.94701999</v>
      </c>
      <c r="AT12" s="47">
        <v>3.6256323777399999E-2</v>
      </c>
      <c r="AU12" s="47">
        <v>0.64907251264800003</v>
      </c>
      <c r="AV12" s="47">
        <v>4.0472175379400004E-3</v>
      </c>
      <c r="AW12" s="47">
        <v>9.5615514333900004E-2</v>
      </c>
      <c r="AX12" s="47">
        <v>1.68634064081E-4</v>
      </c>
      <c r="AY12" s="47">
        <v>0.21483979763899999</v>
      </c>
      <c r="AZ12" s="47">
        <v>0</v>
      </c>
      <c r="BA12" s="47">
        <v>0</v>
      </c>
      <c r="BB12" s="47">
        <v>0</v>
      </c>
      <c r="BC12" s="47">
        <v>0</v>
      </c>
      <c r="BD12" s="47">
        <v>0</v>
      </c>
      <c r="BE12" s="47">
        <v>0</v>
      </c>
      <c r="BF12" s="47">
        <v>0</v>
      </c>
      <c r="BG12" s="48"/>
      <c r="BH12" s="43">
        <v>0</v>
      </c>
      <c r="BI12" s="43">
        <v>0</v>
      </c>
      <c r="BJ12" s="43">
        <v>0</v>
      </c>
      <c r="BK12" s="43">
        <v>0</v>
      </c>
      <c r="BL12" s="43">
        <v>0</v>
      </c>
      <c r="BM12" s="43">
        <v>0</v>
      </c>
      <c r="BN12" s="43">
        <v>0</v>
      </c>
      <c r="BO12" s="43">
        <v>0</v>
      </c>
      <c r="BP12" s="43">
        <v>0</v>
      </c>
      <c r="BQ12" s="43">
        <v>0</v>
      </c>
      <c r="BR12" s="43">
        <v>0</v>
      </c>
      <c r="BS12" s="43">
        <v>0</v>
      </c>
      <c r="BT12" s="43">
        <v>0.207757166948</v>
      </c>
      <c r="BU12" s="43">
        <v>0</v>
      </c>
      <c r="BV12" s="43">
        <v>0</v>
      </c>
      <c r="BW12" s="43">
        <v>0</v>
      </c>
      <c r="BX12" s="43">
        <v>0</v>
      </c>
      <c r="BY12" s="43">
        <v>7.0826306914000001E-3</v>
      </c>
      <c r="BZ12" s="43">
        <v>0</v>
      </c>
      <c r="CA12" s="43">
        <v>0</v>
      </c>
      <c r="CB12" s="43">
        <v>6.2225969645899999E-2</v>
      </c>
      <c r="CC12" s="43">
        <v>0</v>
      </c>
      <c r="CD12" s="43">
        <v>0</v>
      </c>
      <c r="CE12" s="43">
        <v>0</v>
      </c>
      <c r="CF12" s="43">
        <v>0</v>
      </c>
      <c r="CG12" s="43">
        <v>2.9005059021899999E-2</v>
      </c>
      <c r="CH12" s="43">
        <v>0</v>
      </c>
      <c r="CI12" s="43">
        <v>3.5413153457000001E-3</v>
      </c>
      <c r="CJ12" s="43">
        <v>8.4317032040500002E-4</v>
      </c>
      <c r="CK12" s="43">
        <v>0</v>
      </c>
      <c r="CL12" s="43">
        <v>0</v>
      </c>
      <c r="CM12" s="43">
        <v>0</v>
      </c>
      <c r="CN12" s="43">
        <v>0</v>
      </c>
      <c r="CO12" s="43">
        <v>0</v>
      </c>
      <c r="CP12" s="43">
        <v>0</v>
      </c>
      <c r="CQ12" s="43">
        <v>0</v>
      </c>
      <c r="CR12" s="43">
        <v>1.3490725126499999E-3</v>
      </c>
      <c r="CS12" s="43">
        <v>0</v>
      </c>
      <c r="CT12" s="43">
        <v>0</v>
      </c>
      <c r="CU12" s="43">
        <v>0</v>
      </c>
      <c r="CV12" s="43">
        <v>0</v>
      </c>
      <c r="CW12" s="43">
        <v>0</v>
      </c>
      <c r="CX12" s="43">
        <v>0</v>
      </c>
      <c r="CY12" s="43">
        <v>0</v>
      </c>
      <c r="CZ12" s="43">
        <v>6.74536256324E-4</v>
      </c>
      <c r="DA12" s="43">
        <v>0</v>
      </c>
      <c r="DB12" s="43">
        <v>0</v>
      </c>
      <c r="DC12" s="43">
        <v>0</v>
      </c>
      <c r="DD12" s="43">
        <v>2.7824620573399999E-2</v>
      </c>
      <c r="DE12" s="43">
        <v>0</v>
      </c>
      <c r="DF12" s="43">
        <v>0</v>
      </c>
      <c r="DG12" s="43">
        <v>2.2259696458700001E-2</v>
      </c>
      <c r="DH12" s="43">
        <v>0</v>
      </c>
      <c r="DI12" s="43">
        <v>0</v>
      </c>
      <c r="DJ12" s="43">
        <v>1.29848229342E-2</v>
      </c>
      <c r="DK12" s="43">
        <v>0</v>
      </c>
      <c r="DL12" s="43">
        <v>0</v>
      </c>
      <c r="DM12" s="43">
        <v>0</v>
      </c>
      <c r="DN12" s="43">
        <v>0</v>
      </c>
      <c r="DO12" s="43">
        <v>0</v>
      </c>
      <c r="DP12" s="43">
        <v>0</v>
      </c>
      <c r="DQ12" s="43">
        <v>4.51939291737E-2</v>
      </c>
      <c r="DR12" s="43">
        <v>4.89038785835E-3</v>
      </c>
      <c r="DS12" s="43">
        <v>6.12141652614E-2</v>
      </c>
      <c r="DT12" s="43">
        <v>6.9139966273200001E-3</v>
      </c>
      <c r="DU12" s="43">
        <v>0</v>
      </c>
      <c r="DV12" s="43">
        <v>0</v>
      </c>
      <c r="DW12" s="43">
        <v>0</v>
      </c>
      <c r="DX12" s="43">
        <v>0</v>
      </c>
      <c r="DY12" s="43">
        <v>3.32209106239E-2</v>
      </c>
      <c r="DZ12" s="43">
        <v>0</v>
      </c>
      <c r="EA12" s="43">
        <v>3.3726812816200001E-3</v>
      </c>
      <c r="EB12" s="43">
        <v>0.16779089376100001</v>
      </c>
      <c r="EC12" s="43">
        <v>0</v>
      </c>
      <c r="ED12" s="43">
        <v>6.8296795952799999E-2</v>
      </c>
      <c r="EE12" s="43">
        <v>6.9308600337300005E-2</v>
      </c>
      <c r="EF12" s="43">
        <v>2.6981450252999998E-3</v>
      </c>
      <c r="EG12" s="43">
        <v>5.6155143338999999E-2</v>
      </c>
      <c r="EH12" s="43">
        <v>0</v>
      </c>
      <c r="EI12" s="43">
        <v>0</v>
      </c>
      <c r="EJ12" s="43">
        <v>0</v>
      </c>
      <c r="EK12" s="43">
        <v>0</v>
      </c>
      <c r="EL12" s="43">
        <v>0</v>
      </c>
      <c r="EM12" s="43">
        <v>0</v>
      </c>
      <c r="EN12" s="43">
        <v>0</v>
      </c>
      <c r="EO12" s="43">
        <v>0</v>
      </c>
      <c r="EP12" s="43">
        <v>0</v>
      </c>
      <c r="EQ12" s="43">
        <v>0</v>
      </c>
      <c r="ER12" s="43">
        <v>0</v>
      </c>
      <c r="ES12" s="43">
        <v>0</v>
      </c>
      <c r="ET12" s="43">
        <v>0</v>
      </c>
      <c r="EU12" s="43">
        <v>0</v>
      </c>
      <c r="EV12" s="43">
        <v>0</v>
      </c>
      <c r="EW12" s="43">
        <v>1.68634064081E-4</v>
      </c>
      <c r="EX12" s="43">
        <v>0</v>
      </c>
      <c r="EY12" s="43">
        <v>6.0033726812800003E-2</v>
      </c>
      <c r="EZ12" s="43">
        <v>0</v>
      </c>
      <c r="FA12" s="43">
        <v>5.0590219224299997E-4</v>
      </c>
      <c r="FB12" s="43">
        <v>0</v>
      </c>
      <c r="FC12" s="43">
        <v>0</v>
      </c>
      <c r="FD12" s="43">
        <v>0</v>
      </c>
      <c r="FE12" s="43">
        <v>4.2158516020200003E-3</v>
      </c>
      <c r="FF12" s="43">
        <v>0</v>
      </c>
      <c r="FG12" s="43">
        <v>0</v>
      </c>
      <c r="FH12" s="43">
        <v>0</v>
      </c>
      <c r="FI12" s="43">
        <v>0</v>
      </c>
      <c r="FJ12" s="43">
        <v>0</v>
      </c>
      <c r="FK12" s="43">
        <v>0</v>
      </c>
      <c r="FL12" s="43">
        <v>0</v>
      </c>
      <c r="FM12" s="43">
        <v>0</v>
      </c>
      <c r="FN12" s="43">
        <v>0</v>
      </c>
      <c r="FO12" s="43">
        <v>4.0472175379400004E-3</v>
      </c>
      <c r="FP12" s="43">
        <v>0</v>
      </c>
      <c r="FQ12" s="43">
        <v>0</v>
      </c>
      <c r="FR12" s="43">
        <v>0</v>
      </c>
      <c r="FS12" s="43">
        <v>0</v>
      </c>
      <c r="FT12" s="43">
        <v>0</v>
      </c>
      <c r="FU12" s="43">
        <v>0</v>
      </c>
      <c r="FV12" s="43">
        <v>0</v>
      </c>
      <c r="FW12" s="43">
        <v>0</v>
      </c>
      <c r="FX12" s="43">
        <v>0</v>
      </c>
      <c r="FY12" s="43">
        <v>0</v>
      </c>
      <c r="FZ12" s="43">
        <v>1.68634064081E-4</v>
      </c>
      <c r="GA12" s="43">
        <v>0</v>
      </c>
      <c r="GB12" s="43">
        <v>0</v>
      </c>
      <c r="GC12" s="43">
        <v>3.6256323777399999E-2</v>
      </c>
      <c r="GD12" s="43">
        <v>0</v>
      </c>
    </row>
    <row r="13" spans="1:186" ht="16.5" x14ac:dyDescent="0.3">
      <c r="A13" s="21" t="s">
        <v>222</v>
      </c>
      <c r="B13" s="22" t="s">
        <v>1</v>
      </c>
      <c r="C13" s="23">
        <v>10</v>
      </c>
      <c r="D13" s="23" t="s">
        <v>183</v>
      </c>
      <c r="E13" s="24" t="s">
        <v>184</v>
      </c>
      <c r="F13" s="25" t="s">
        <v>223</v>
      </c>
      <c r="G13" s="26" t="s">
        <v>1</v>
      </c>
      <c r="H13" s="26" t="s">
        <v>184</v>
      </c>
      <c r="I13" s="27">
        <v>10</v>
      </c>
      <c r="J13" s="27">
        <v>152</v>
      </c>
      <c r="K13" s="27">
        <v>40</v>
      </c>
      <c r="L13" s="28">
        <f t="shared" si="0"/>
        <v>17.313019390581719</v>
      </c>
      <c r="M13" s="29">
        <v>62</v>
      </c>
      <c r="N13" s="30" t="s">
        <v>186</v>
      </c>
      <c r="O13" s="30" t="s">
        <v>186</v>
      </c>
      <c r="P13" s="30" t="s">
        <v>186</v>
      </c>
      <c r="Q13" s="30" t="s">
        <v>186</v>
      </c>
      <c r="R13" s="30" t="s">
        <v>186</v>
      </c>
      <c r="S13" s="31" t="s">
        <v>200</v>
      </c>
      <c r="T13" s="30" t="s">
        <v>186</v>
      </c>
      <c r="U13" s="30" t="s">
        <v>224</v>
      </c>
      <c r="V13" s="30" t="s">
        <v>225</v>
      </c>
      <c r="W13" s="30" t="s">
        <v>186</v>
      </c>
      <c r="X13" s="25">
        <v>3153.9073804687509</v>
      </c>
      <c r="Y13" s="25">
        <v>1026.4045357213645</v>
      </c>
      <c r="Z13" s="25">
        <v>988.37521259027244</v>
      </c>
      <c r="AA13" s="25">
        <v>2834.4327931825305</v>
      </c>
      <c r="AB13" s="25">
        <v>1718.8667013121358</v>
      </c>
      <c r="AC13" s="25">
        <v>1007.1743735789541</v>
      </c>
      <c r="AD13" s="32">
        <v>119.4</v>
      </c>
      <c r="AE13" s="32">
        <v>162.41999999999999</v>
      </c>
      <c r="AF13" s="23" t="s">
        <v>183</v>
      </c>
      <c r="AG13" s="33">
        <v>80.599999999999994</v>
      </c>
      <c r="AH13" s="33">
        <v>15.5</v>
      </c>
      <c r="AI13" s="34">
        <f t="shared" ref="AI13:AI23" si="5">AE13/AG13*100</f>
        <v>201.5136476426799</v>
      </c>
      <c r="AJ13" s="34">
        <f t="shared" ref="AJ13:AJ23" si="6">AE13/AH13*100</f>
        <v>1047.8709677419354</v>
      </c>
      <c r="AK13" s="35">
        <v>80.599999999999994</v>
      </c>
      <c r="AL13" s="36">
        <f t="shared" ref="AL13:AL23" si="7">(AE13/AK13)*100</f>
        <v>201.5136476426799</v>
      </c>
      <c r="AM13" s="37">
        <v>15.5</v>
      </c>
      <c r="AN13" s="38">
        <f t="shared" ref="AN13:AN23" si="8">(AE13/AM13)*100</f>
        <v>1047.8709677419354</v>
      </c>
      <c r="AO13" s="39">
        <v>5698135.0420160098</v>
      </c>
      <c r="AP13" s="39">
        <v>11418222.506369701</v>
      </c>
      <c r="AQ13" s="39">
        <v>3876459.74750295</v>
      </c>
      <c r="AR13" s="39">
        <v>9879682.85632075</v>
      </c>
      <c r="AT13" s="47">
        <v>0.148229342327</v>
      </c>
      <c r="AU13" s="47">
        <v>0.495784148398</v>
      </c>
      <c r="AV13" s="47">
        <v>1.14671163575E-2</v>
      </c>
      <c r="AW13" s="47">
        <v>6.4080944350800001E-2</v>
      </c>
      <c r="AX13" s="47">
        <v>0</v>
      </c>
      <c r="AY13" s="47">
        <v>0.27774030354099999</v>
      </c>
      <c r="AZ13" s="47">
        <v>0</v>
      </c>
      <c r="BA13" s="47">
        <v>8.4317032040500002E-4</v>
      </c>
      <c r="BB13" s="47">
        <v>1.68634064081E-4</v>
      </c>
      <c r="BC13" s="47">
        <v>0</v>
      </c>
      <c r="BD13" s="47">
        <v>1.68634064081E-3</v>
      </c>
      <c r="BE13" s="47">
        <v>0</v>
      </c>
      <c r="BF13" s="47">
        <v>0</v>
      </c>
      <c r="BG13" s="48"/>
      <c r="BH13" s="43">
        <v>1.68634064081E-4</v>
      </c>
      <c r="BI13" s="43">
        <v>0</v>
      </c>
      <c r="BJ13" s="43">
        <v>0</v>
      </c>
      <c r="BK13" s="43">
        <v>0</v>
      </c>
      <c r="BL13" s="43">
        <v>0</v>
      </c>
      <c r="BM13" s="43">
        <v>0</v>
      </c>
      <c r="BN13" s="43">
        <v>0</v>
      </c>
      <c r="BO13" s="43">
        <v>0</v>
      </c>
      <c r="BP13" s="43">
        <v>0</v>
      </c>
      <c r="BQ13" s="43">
        <v>0</v>
      </c>
      <c r="BR13" s="43">
        <v>0</v>
      </c>
      <c r="BS13" s="43">
        <v>0</v>
      </c>
      <c r="BT13" s="43">
        <v>0.190219224283</v>
      </c>
      <c r="BU13" s="43">
        <v>3.2546374367600002E-2</v>
      </c>
      <c r="BV13" s="43">
        <v>0</v>
      </c>
      <c r="BW13" s="43">
        <v>0</v>
      </c>
      <c r="BX13" s="43">
        <v>5.4974704890400003E-2</v>
      </c>
      <c r="BY13" s="43">
        <v>0</v>
      </c>
      <c r="BZ13" s="43">
        <v>0</v>
      </c>
      <c r="CA13" s="43">
        <v>0</v>
      </c>
      <c r="CB13" s="43">
        <v>3.6256323777399999E-2</v>
      </c>
      <c r="CC13" s="43">
        <v>2.6981450252999998E-3</v>
      </c>
      <c r="CD13" s="43">
        <v>0</v>
      </c>
      <c r="CE13" s="43">
        <v>0</v>
      </c>
      <c r="CF13" s="43">
        <v>0</v>
      </c>
      <c r="CG13" s="43">
        <v>2.0067453625600001E-2</v>
      </c>
      <c r="CH13" s="43">
        <v>0</v>
      </c>
      <c r="CI13" s="43">
        <v>5.0590219224299997E-4</v>
      </c>
      <c r="CJ13" s="43">
        <v>5.0590219224299997E-4</v>
      </c>
      <c r="CK13" s="43">
        <v>0</v>
      </c>
      <c r="CL13" s="43">
        <v>4.0472175379400004E-3</v>
      </c>
      <c r="CM13" s="43">
        <v>0</v>
      </c>
      <c r="CN13" s="43">
        <v>0</v>
      </c>
      <c r="CO13" s="43">
        <v>0</v>
      </c>
      <c r="CP13" s="43">
        <v>0</v>
      </c>
      <c r="CQ13" s="43">
        <v>0</v>
      </c>
      <c r="CR13" s="43">
        <v>0</v>
      </c>
      <c r="CS13" s="43">
        <v>0</v>
      </c>
      <c r="CT13" s="43">
        <v>0</v>
      </c>
      <c r="CU13" s="43">
        <v>0</v>
      </c>
      <c r="CV13" s="43">
        <v>0</v>
      </c>
      <c r="CW13" s="43">
        <v>0</v>
      </c>
      <c r="CX13" s="43">
        <v>0</v>
      </c>
      <c r="CY13" s="43">
        <v>0</v>
      </c>
      <c r="CZ13" s="43">
        <v>0</v>
      </c>
      <c r="DA13" s="43">
        <v>0</v>
      </c>
      <c r="DB13" s="43">
        <v>0</v>
      </c>
      <c r="DC13" s="43">
        <v>0</v>
      </c>
      <c r="DD13" s="43">
        <v>0</v>
      </c>
      <c r="DE13" s="43">
        <v>0</v>
      </c>
      <c r="DF13" s="43">
        <v>4.89038785835E-3</v>
      </c>
      <c r="DG13" s="43">
        <v>0.12748735244500001</v>
      </c>
      <c r="DH13" s="43">
        <v>6.7959527824600005E-2</v>
      </c>
      <c r="DI13" s="43">
        <v>0</v>
      </c>
      <c r="DJ13" s="43">
        <v>0</v>
      </c>
      <c r="DK13" s="43">
        <v>0</v>
      </c>
      <c r="DL13" s="43">
        <v>0</v>
      </c>
      <c r="DM13" s="43">
        <v>0</v>
      </c>
      <c r="DN13" s="43">
        <v>0</v>
      </c>
      <c r="DO13" s="43">
        <v>2.3608768971300001E-3</v>
      </c>
      <c r="DP13" s="43">
        <v>0</v>
      </c>
      <c r="DQ13" s="43">
        <v>9.9494097807800008E-3</v>
      </c>
      <c r="DR13" s="43">
        <v>0</v>
      </c>
      <c r="DS13" s="43">
        <v>1.72006745363E-2</v>
      </c>
      <c r="DT13" s="43">
        <v>1.5177065767300001E-3</v>
      </c>
      <c r="DU13" s="43">
        <v>0</v>
      </c>
      <c r="DV13" s="43">
        <v>0</v>
      </c>
      <c r="DW13" s="43">
        <v>0</v>
      </c>
      <c r="DX13" s="43">
        <v>0</v>
      </c>
      <c r="DY13" s="43">
        <v>0</v>
      </c>
      <c r="DZ13" s="43">
        <v>7.41989881956E-3</v>
      </c>
      <c r="EA13" s="43">
        <v>0</v>
      </c>
      <c r="EB13" s="43">
        <v>3.8954468802700003E-2</v>
      </c>
      <c r="EC13" s="43">
        <v>0</v>
      </c>
      <c r="ED13" s="43">
        <v>7.2849915683000005E-2</v>
      </c>
      <c r="EE13" s="43">
        <v>1.33220910624E-2</v>
      </c>
      <c r="EF13" s="43">
        <v>1.82124789207E-2</v>
      </c>
      <c r="EG13" s="43">
        <v>8.6003372681300004E-3</v>
      </c>
      <c r="EH13" s="43">
        <v>0</v>
      </c>
      <c r="EI13" s="43">
        <v>1.5514333895400001E-2</v>
      </c>
      <c r="EJ13" s="43">
        <v>0</v>
      </c>
      <c r="EK13" s="43">
        <v>0</v>
      </c>
      <c r="EL13" s="43">
        <v>0</v>
      </c>
      <c r="EM13" s="43">
        <v>0</v>
      </c>
      <c r="EN13" s="43">
        <v>0</v>
      </c>
      <c r="EO13" s="43">
        <v>0</v>
      </c>
      <c r="EP13" s="43">
        <v>1.85497470489E-3</v>
      </c>
      <c r="EQ13" s="43">
        <v>0</v>
      </c>
      <c r="ER13" s="43">
        <v>0</v>
      </c>
      <c r="ES13" s="43">
        <v>0</v>
      </c>
      <c r="ET13" s="43">
        <v>0</v>
      </c>
      <c r="EU13" s="43">
        <v>0</v>
      </c>
      <c r="EV13" s="43">
        <v>0</v>
      </c>
      <c r="EW13" s="43">
        <v>0</v>
      </c>
      <c r="EX13" s="43">
        <v>0</v>
      </c>
      <c r="EY13" s="43">
        <v>4.89038785835E-3</v>
      </c>
      <c r="EZ13" s="43">
        <v>0</v>
      </c>
      <c r="FA13" s="43">
        <v>0</v>
      </c>
      <c r="FB13" s="43">
        <v>0</v>
      </c>
      <c r="FC13" s="43">
        <v>0</v>
      </c>
      <c r="FD13" s="43">
        <v>0</v>
      </c>
      <c r="FE13" s="43">
        <v>8.2799325463700002E-2</v>
      </c>
      <c r="FF13" s="43">
        <v>1.68634064081E-3</v>
      </c>
      <c r="FG13" s="43">
        <v>0</v>
      </c>
      <c r="FH13" s="43">
        <v>0</v>
      </c>
      <c r="FI13" s="43">
        <v>0</v>
      </c>
      <c r="FJ13" s="43">
        <v>0</v>
      </c>
      <c r="FK13" s="43">
        <v>0</v>
      </c>
      <c r="FL13" s="43">
        <v>0</v>
      </c>
      <c r="FM13" s="43">
        <v>1.14671163575E-2</v>
      </c>
      <c r="FN13" s="43">
        <v>0</v>
      </c>
      <c r="FO13" s="43">
        <v>0</v>
      </c>
      <c r="FP13" s="43">
        <v>0</v>
      </c>
      <c r="FQ13" s="43">
        <v>0</v>
      </c>
      <c r="FR13" s="43">
        <v>0</v>
      </c>
      <c r="FS13" s="43">
        <v>0</v>
      </c>
      <c r="FT13" s="43">
        <v>0</v>
      </c>
      <c r="FU13" s="43">
        <v>0</v>
      </c>
      <c r="FV13" s="43">
        <v>0</v>
      </c>
      <c r="FW13" s="43">
        <v>0</v>
      </c>
      <c r="FX13" s="43">
        <v>0</v>
      </c>
      <c r="FY13" s="43">
        <v>0</v>
      </c>
      <c r="FZ13" s="43">
        <v>0</v>
      </c>
      <c r="GA13" s="43">
        <v>0</v>
      </c>
      <c r="GB13" s="43">
        <v>8.4317032040500002E-4</v>
      </c>
      <c r="GC13" s="43">
        <v>0.148229342327</v>
      </c>
      <c r="GD13" s="43">
        <v>0</v>
      </c>
    </row>
    <row r="14" spans="1:186" ht="16.5" x14ac:dyDescent="0.3">
      <c r="A14" s="21" t="s">
        <v>226</v>
      </c>
      <c r="B14" s="22" t="s">
        <v>1</v>
      </c>
      <c r="C14" s="23">
        <v>11.25</v>
      </c>
      <c r="D14" s="23" t="s">
        <v>183</v>
      </c>
      <c r="E14" s="24" t="s">
        <v>184</v>
      </c>
      <c r="F14" s="25" t="s">
        <v>227</v>
      </c>
      <c r="G14" s="26" t="s">
        <v>1</v>
      </c>
      <c r="H14" s="26" t="s">
        <v>184</v>
      </c>
      <c r="I14" s="27">
        <v>11</v>
      </c>
      <c r="J14" s="27">
        <v>164</v>
      </c>
      <c r="K14" s="27">
        <v>70</v>
      </c>
      <c r="L14" s="28">
        <f t="shared" si="0"/>
        <v>26.026174895895306</v>
      </c>
      <c r="M14" s="29">
        <v>98</v>
      </c>
      <c r="N14" s="30" t="s">
        <v>186</v>
      </c>
      <c r="O14" s="30" t="s">
        <v>186</v>
      </c>
      <c r="P14" s="30" t="s">
        <v>186</v>
      </c>
      <c r="Q14" s="30" t="s">
        <v>186</v>
      </c>
      <c r="R14" s="30" t="s">
        <v>186</v>
      </c>
      <c r="S14" s="31" t="s">
        <v>186</v>
      </c>
      <c r="T14" s="30" t="s">
        <v>186</v>
      </c>
      <c r="U14" s="30" t="s">
        <v>228</v>
      </c>
      <c r="V14" s="30" t="s">
        <v>229</v>
      </c>
      <c r="W14" s="30" t="s">
        <v>186</v>
      </c>
      <c r="X14" s="25">
        <v>743.01404539204236</v>
      </c>
      <c r="Y14" s="25">
        <v>564.78137814540594</v>
      </c>
      <c r="Z14" s="25">
        <v>620.93125514059</v>
      </c>
      <c r="AA14" s="25">
        <v>620.93125514059</v>
      </c>
      <c r="AB14" s="25">
        <v>536.03696034517895</v>
      </c>
      <c r="AC14" s="25">
        <v>568.97102281350817</v>
      </c>
      <c r="AD14" s="32">
        <v>216.3</v>
      </c>
      <c r="AE14" s="32">
        <v>20.732500000000002</v>
      </c>
      <c r="AF14" s="23" t="s">
        <v>183</v>
      </c>
      <c r="AG14" s="33">
        <v>63.1</v>
      </c>
      <c r="AH14" s="33">
        <v>14.7</v>
      </c>
      <c r="AI14" s="34">
        <f t="shared" si="5"/>
        <v>32.856576862123617</v>
      </c>
      <c r="AJ14" s="34">
        <f t="shared" si="6"/>
        <v>141.03741496598641</v>
      </c>
      <c r="AK14" s="35">
        <v>63.1</v>
      </c>
      <c r="AL14" s="36">
        <f t="shared" si="7"/>
        <v>32.856576862123617</v>
      </c>
      <c r="AM14" s="37">
        <v>14.7</v>
      </c>
      <c r="AN14" s="38">
        <f t="shared" si="8"/>
        <v>141.03741496598641</v>
      </c>
      <c r="AO14" s="39">
        <v>1898406.72530727</v>
      </c>
      <c r="AP14" s="39">
        <v>400280917.35769397</v>
      </c>
      <c r="AQ14" s="39">
        <v>15204506.339146599</v>
      </c>
      <c r="AR14" s="39">
        <v>1677604.0707971</v>
      </c>
      <c r="AT14" s="47">
        <v>6.0370994940999997E-2</v>
      </c>
      <c r="AU14" s="47">
        <v>0.77133220910599998</v>
      </c>
      <c r="AV14" s="47">
        <v>1.68634064081E-3</v>
      </c>
      <c r="AW14" s="47">
        <v>8.6003372681300004E-3</v>
      </c>
      <c r="AX14" s="47">
        <v>0</v>
      </c>
      <c r="AY14" s="47">
        <v>0.157672849916</v>
      </c>
      <c r="AZ14" s="47">
        <v>0</v>
      </c>
      <c r="BA14" s="47">
        <v>0</v>
      </c>
      <c r="BB14" s="47">
        <v>0</v>
      </c>
      <c r="BC14" s="47">
        <v>0</v>
      </c>
      <c r="BD14" s="47">
        <v>0</v>
      </c>
      <c r="BE14" s="47">
        <v>0</v>
      </c>
      <c r="BF14" s="47">
        <v>0</v>
      </c>
      <c r="BG14" s="48"/>
      <c r="BH14" s="43">
        <v>0</v>
      </c>
      <c r="BI14" s="43">
        <v>0</v>
      </c>
      <c r="BJ14" s="43">
        <v>0</v>
      </c>
      <c r="BK14" s="43">
        <v>3.37268128162E-4</v>
      </c>
      <c r="BL14" s="43">
        <v>0</v>
      </c>
      <c r="BM14" s="43">
        <v>0</v>
      </c>
      <c r="BN14" s="43">
        <v>0</v>
      </c>
      <c r="BO14" s="43">
        <v>0</v>
      </c>
      <c r="BP14" s="43">
        <v>0</v>
      </c>
      <c r="BQ14" s="43">
        <v>0</v>
      </c>
      <c r="BR14" s="43">
        <v>0</v>
      </c>
      <c r="BS14" s="43">
        <v>0</v>
      </c>
      <c r="BT14" s="43">
        <v>7.7403035413199997E-2</v>
      </c>
      <c r="BU14" s="43">
        <v>1.18043844857E-3</v>
      </c>
      <c r="BV14" s="43">
        <v>3.87858347386E-3</v>
      </c>
      <c r="BW14" s="43">
        <v>3.0354131534600002E-3</v>
      </c>
      <c r="BX14" s="43">
        <v>7.1838111298499999E-2</v>
      </c>
      <c r="BY14" s="43">
        <v>0</v>
      </c>
      <c r="BZ14" s="43">
        <v>0</v>
      </c>
      <c r="CA14" s="43">
        <v>0</v>
      </c>
      <c r="CB14" s="43">
        <v>0</v>
      </c>
      <c r="CC14" s="43">
        <v>0</v>
      </c>
      <c r="CD14" s="43">
        <v>0</v>
      </c>
      <c r="CE14" s="43">
        <v>6.2394603709899996E-3</v>
      </c>
      <c r="CF14" s="43">
        <v>0</v>
      </c>
      <c r="CG14" s="43">
        <v>2.3608768971300001E-3</v>
      </c>
      <c r="CH14" s="43">
        <v>0</v>
      </c>
      <c r="CI14" s="43">
        <v>0</v>
      </c>
      <c r="CJ14" s="43">
        <v>0</v>
      </c>
      <c r="CK14" s="43">
        <v>0</v>
      </c>
      <c r="CL14" s="43">
        <v>0</v>
      </c>
      <c r="CM14" s="43">
        <v>0</v>
      </c>
      <c r="CN14" s="43">
        <v>0</v>
      </c>
      <c r="CO14" s="43">
        <v>0</v>
      </c>
      <c r="CP14" s="43">
        <v>0</v>
      </c>
      <c r="CQ14" s="43">
        <v>0</v>
      </c>
      <c r="CR14" s="43">
        <v>0</v>
      </c>
      <c r="CS14" s="43">
        <v>0</v>
      </c>
      <c r="CT14" s="43">
        <v>2.8667790893799998E-3</v>
      </c>
      <c r="CU14" s="43">
        <v>0</v>
      </c>
      <c r="CV14" s="43">
        <v>0</v>
      </c>
      <c r="CW14" s="43">
        <v>0</v>
      </c>
      <c r="CX14" s="43">
        <v>0</v>
      </c>
      <c r="CY14" s="43">
        <v>0</v>
      </c>
      <c r="CZ14" s="43">
        <v>8.4317032040500002E-4</v>
      </c>
      <c r="DA14" s="43">
        <v>0</v>
      </c>
      <c r="DB14" s="43">
        <v>0</v>
      </c>
      <c r="DC14" s="43">
        <v>7.41989881956E-3</v>
      </c>
      <c r="DD14" s="43">
        <v>0</v>
      </c>
      <c r="DE14" s="43">
        <v>0</v>
      </c>
      <c r="DF14" s="43">
        <v>0</v>
      </c>
      <c r="DG14" s="43">
        <v>8.2462057335599998E-2</v>
      </c>
      <c r="DH14" s="43">
        <v>0</v>
      </c>
      <c r="DI14" s="43">
        <v>0</v>
      </c>
      <c r="DJ14" s="43">
        <v>0</v>
      </c>
      <c r="DK14" s="43">
        <v>0</v>
      </c>
      <c r="DL14" s="43">
        <v>0</v>
      </c>
      <c r="DM14" s="43">
        <v>0</v>
      </c>
      <c r="DN14" s="43">
        <v>0</v>
      </c>
      <c r="DO14" s="43">
        <v>0</v>
      </c>
      <c r="DP14" s="43">
        <v>0</v>
      </c>
      <c r="DQ14" s="43">
        <v>0.18145025295100001</v>
      </c>
      <c r="DR14" s="43">
        <v>0</v>
      </c>
      <c r="DS14" s="43">
        <v>9.7639123102900002E-2</v>
      </c>
      <c r="DT14" s="43">
        <v>2.6981450252999998E-3</v>
      </c>
      <c r="DU14" s="43">
        <v>1.5682967959499999E-2</v>
      </c>
      <c r="DV14" s="43">
        <v>0</v>
      </c>
      <c r="DW14" s="43">
        <v>0</v>
      </c>
      <c r="DX14" s="43">
        <v>1.68634064081E-4</v>
      </c>
      <c r="DY14" s="43">
        <v>2.5295109612100001E-3</v>
      </c>
      <c r="DZ14" s="43">
        <v>3.37268128162E-4</v>
      </c>
      <c r="EA14" s="43">
        <v>0</v>
      </c>
      <c r="EB14" s="43">
        <v>0.110286677909</v>
      </c>
      <c r="EC14" s="43">
        <v>0</v>
      </c>
      <c r="ED14" s="43">
        <v>5.7841483979799997E-2</v>
      </c>
      <c r="EE14" s="43">
        <v>0</v>
      </c>
      <c r="EF14" s="43">
        <v>0</v>
      </c>
      <c r="EG14" s="43">
        <v>2.95109612142E-2</v>
      </c>
      <c r="EH14" s="43">
        <v>0</v>
      </c>
      <c r="EI14" s="43">
        <v>2.9005059021899999E-2</v>
      </c>
      <c r="EJ14" s="43">
        <v>0</v>
      </c>
      <c r="EK14" s="43">
        <v>0</v>
      </c>
      <c r="EL14" s="43">
        <v>0</v>
      </c>
      <c r="EM14" s="43">
        <v>0</v>
      </c>
      <c r="EN14" s="43">
        <v>0</v>
      </c>
      <c r="EO14" s="43">
        <v>0</v>
      </c>
      <c r="EP14" s="43">
        <v>4.3844856661000003E-3</v>
      </c>
      <c r="EQ14" s="43">
        <v>0</v>
      </c>
      <c r="ER14" s="43">
        <v>0</v>
      </c>
      <c r="ES14" s="43">
        <v>0</v>
      </c>
      <c r="ET14" s="43">
        <v>0</v>
      </c>
      <c r="EU14" s="43">
        <v>0</v>
      </c>
      <c r="EV14" s="43">
        <v>0</v>
      </c>
      <c r="EW14" s="43">
        <v>0</v>
      </c>
      <c r="EX14" s="43">
        <v>0</v>
      </c>
      <c r="EY14" s="43">
        <v>0</v>
      </c>
      <c r="EZ14" s="43">
        <v>0</v>
      </c>
      <c r="FA14" s="43">
        <v>0</v>
      </c>
      <c r="FB14" s="43">
        <v>5.6492411467099997E-2</v>
      </c>
      <c r="FC14" s="43">
        <v>0</v>
      </c>
      <c r="FD14" s="43">
        <v>0</v>
      </c>
      <c r="FE14" s="43">
        <v>8.9713322091100001E-2</v>
      </c>
      <c r="FF14" s="43">
        <v>0</v>
      </c>
      <c r="FG14" s="43">
        <v>0</v>
      </c>
      <c r="FH14" s="43">
        <v>0</v>
      </c>
      <c r="FI14" s="43">
        <v>0</v>
      </c>
      <c r="FJ14" s="43">
        <v>0</v>
      </c>
      <c r="FK14" s="43">
        <v>0</v>
      </c>
      <c r="FL14" s="43">
        <v>0</v>
      </c>
      <c r="FM14" s="43">
        <v>0</v>
      </c>
      <c r="FN14" s="43">
        <v>0</v>
      </c>
      <c r="FO14" s="43">
        <v>0</v>
      </c>
      <c r="FP14" s="43">
        <v>0</v>
      </c>
      <c r="FQ14" s="43">
        <v>1.68634064081E-3</v>
      </c>
      <c r="FR14" s="43">
        <v>0</v>
      </c>
      <c r="FS14" s="43">
        <v>0</v>
      </c>
      <c r="FT14" s="43">
        <v>0</v>
      </c>
      <c r="FU14" s="43">
        <v>0</v>
      </c>
      <c r="FV14" s="43">
        <v>0</v>
      </c>
      <c r="FW14" s="43">
        <v>0</v>
      </c>
      <c r="FX14" s="43">
        <v>0</v>
      </c>
      <c r="FY14" s="43">
        <v>0</v>
      </c>
      <c r="FZ14" s="43">
        <v>0</v>
      </c>
      <c r="GA14" s="43">
        <v>0</v>
      </c>
      <c r="GB14" s="43">
        <v>0</v>
      </c>
      <c r="GC14" s="43">
        <v>6.0370994940999997E-2</v>
      </c>
      <c r="GD14" s="43">
        <v>3.37268128162E-4</v>
      </c>
    </row>
    <row r="15" spans="1:186" ht="16.5" x14ac:dyDescent="0.3">
      <c r="A15" s="21" t="s">
        <v>230</v>
      </c>
      <c r="B15" s="22" t="s">
        <v>1</v>
      </c>
      <c r="C15" s="23">
        <v>11.25</v>
      </c>
      <c r="D15" s="23" t="s">
        <v>183</v>
      </c>
      <c r="E15" s="24" t="s">
        <v>184</v>
      </c>
      <c r="F15" s="25" t="s">
        <v>231</v>
      </c>
      <c r="G15" s="26" t="s">
        <v>1</v>
      </c>
      <c r="H15" s="26" t="s">
        <v>184</v>
      </c>
      <c r="I15" s="27">
        <v>11</v>
      </c>
      <c r="J15" s="27">
        <v>146</v>
      </c>
      <c r="K15" s="27">
        <v>42</v>
      </c>
      <c r="L15" s="28">
        <f t="shared" si="0"/>
        <v>19.703509101144682</v>
      </c>
      <c r="M15" s="29">
        <v>82</v>
      </c>
      <c r="N15" s="30" t="s">
        <v>186</v>
      </c>
      <c r="O15" s="30" t="s">
        <v>186</v>
      </c>
      <c r="P15" s="30" t="s">
        <v>186</v>
      </c>
      <c r="Q15" s="30" t="s">
        <v>186</v>
      </c>
      <c r="R15" s="30" t="s">
        <v>186</v>
      </c>
      <c r="S15" s="31" t="s">
        <v>186</v>
      </c>
      <c r="T15" s="30" t="s">
        <v>186</v>
      </c>
      <c r="U15" s="30" t="s">
        <v>232</v>
      </c>
      <c r="V15" s="30" t="s">
        <v>186</v>
      </c>
      <c r="W15" s="30" t="s">
        <v>186</v>
      </c>
      <c r="X15" s="25">
        <v>16317.639985135844</v>
      </c>
      <c r="Y15" s="25">
        <v>3874.7691624123795</v>
      </c>
      <c r="Z15" s="25">
        <v>73.563119918435063</v>
      </c>
      <c r="AA15" s="25">
        <v>6072.2256548000341</v>
      </c>
      <c r="AB15" s="25">
        <v>94.003372231943203</v>
      </c>
      <c r="AC15" s="25">
        <v>677.5242327474823</v>
      </c>
      <c r="AD15" s="32">
        <v>45.25</v>
      </c>
      <c r="AE15" s="32">
        <v>66.552499999999995</v>
      </c>
      <c r="AF15" s="23" t="s">
        <v>183</v>
      </c>
      <c r="AG15" s="33">
        <v>63.1</v>
      </c>
      <c r="AH15" s="33">
        <v>14.7</v>
      </c>
      <c r="AI15" s="34">
        <f t="shared" si="5"/>
        <v>105.47147385103011</v>
      </c>
      <c r="AJ15" s="34">
        <f t="shared" si="6"/>
        <v>452.73809523809518</v>
      </c>
      <c r="AK15" s="35">
        <v>63.1</v>
      </c>
      <c r="AL15" s="36">
        <f t="shared" si="7"/>
        <v>105.47147385103011</v>
      </c>
      <c r="AM15" s="37">
        <v>14.7</v>
      </c>
      <c r="AN15" s="38">
        <f t="shared" si="8"/>
        <v>452.73809523809518</v>
      </c>
      <c r="AO15" s="39">
        <v>5187898.2012362601</v>
      </c>
      <c r="AP15" s="39">
        <v>215805966.26748699</v>
      </c>
      <c r="AQ15" s="39">
        <v>4085727.2269424</v>
      </c>
      <c r="AR15" s="39">
        <v>86738545.043707401</v>
      </c>
      <c r="AT15" s="47">
        <v>0</v>
      </c>
      <c r="AU15" s="47">
        <v>0.63254637436799999</v>
      </c>
      <c r="AV15" s="47">
        <v>0.10269814502500001</v>
      </c>
      <c r="AW15" s="47">
        <v>3.9966273187200002E-2</v>
      </c>
      <c r="AX15" s="47">
        <v>0</v>
      </c>
      <c r="AY15" s="47">
        <v>0.22478920742</v>
      </c>
      <c r="AZ15" s="47">
        <v>0</v>
      </c>
      <c r="BA15" s="47">
        <v>0</v>
      </c>
      <c r="BB15" s="47">
        <v>0</v>
      </c>
      <c r="BC15" s="47">
        <v>0</v>
      </c>
      <c r="BD15" s="47">
        <v>0</v>
      </c>
      <c r="BE15" s="47">
        <v>0</v>
      </c>
      <c r="BF15" s="47">
        <v>0</v>
      </c>
      <c r="BG15" s="48"/>
      <c r="BH15" s="43">
        <v>0</v>
      </c>
      <c r="BI15" s="43">
        <v>0</v>
      </c>
      <c r="BJ15" s="43">
        <v>0</v>
      </c>
      <c r="BK15" s="43">
        <v>0</v>
      </c>
      <c r="BL15" s="43">
        <v>0</v>
      </c>
      <c r="BM15" s="43">
        <v>7.7571669477199999E-3</v>
      </c>
      <c r="BN15" s="43">
        <v>0</v>
      </c>
      <c r="BO15" s="43">
        <v>0</v>
      </c>
      <c r="BP15" s="43">
        <v>0</v>
      </c>
      <c r="BQ15" s="43">
        <v>0</v>
      </c>
      <c r="BR15" s="43">
        <v>2.6981450252999998E-3</v>
      </c>
      <c r="BS15" s="43">
        <v>0</v>
      </c>
      <c r="BT15" s="43">
        <v>0.112478920742</v>
      </c>
      <c r="BU15" s="43">
        <v>1.01180438449E-3</v>
      </c>
      <c r="BV15" s="43">
        <v>9.4435075885299993E-3</v>
      </c>
      <c r="BW15" s="43">
        <v>2.0236087689700002E-3</v>
      </c>
      <c r="BX15" s="43">
        <v>8.9376053962900007E-2</v>
      </c>
      <c r="BY15" s="43">
        <v>0</v>
      </c>
      <c r="BZ15" s="43">
        <v>0</v>
      </c>
      <c r="CA15" s="43">
        <v>0</v>
      </c>
      <c r="CB15" s="43">
        <v>8.4317032040500002E-4</v>
      </c>
      <c r="CC15" s="43">
        <v>0</v>
      </c>
      <c r="CD15" s="43">
        <v>0</v>
      </c>
      <c r="CE15" s="43">
        <v>7.58853288364E-3</v>
      </c>
      <c r="CF15" s="43">
        <v>0</v>
      </c>
      <c r="CG15" s="43">
        <v>4.89038785835E-3</v>
      </c>
      <c r="CH15" s="43">
        <v>0</v>
      </c>
      <c r="CI15" s="43">
        <v>5.2276559865099999E-3</v>
      </c>
      <c r="CJ15" s="43">
        <v>0</v>
      </c>
      <c r="CK15" s="43">
        <v>0</v>
      </c>
      <c r="CL15" s="43">
        <v>0</v>
      </c>
      <c r="CM15" s="43">
        <v>2.1416526138300002E-2</v>
      </c>
      <c r="CN15" s="43">
        <v>0</v>
      </c>
      <c r="CO15" s="43">
        <v>0</v>
      </c>
      <c r="CP15" s="43">
        <v>0</v>
      </c>
      <c r="CQ15" s="43">
        <v>0</v>
      </c>
      <c r="CR15" s="43">
        <v>0</v>
      </c>
      <c r="CS15" s="43">
        <v>3.2040472175400001E-3</v>
      </c>
      <c r="CT15" s="43">
        <v>0</v>
      </c>
      <c r="CU15" s="43">
        <v>0</v>
      </c>
      <c r="CV15" s="43">
        <v>0</v>
      </c>
      <c r="CW15" s="43">
        <v>3.70994940978E-3</v>
      </c>
      <c r="CX15" s="43">
        <v>0</v>
      </c>
      <c r="CY15" s="43">
        <v>5.0590219224299997E-4</v>
      </c>
      <c r="CZ15" s="43">
        <v>1.68634064081E-3</v>
      </c>
      <c r="DA15" s="43">
        <v>0</v>
      </c>
      <c r="DB15" s="43">
        <v>0</v>
      </c>
      <c r="DC15" s="43">
        <v>0</v>
      </c>
      <c r="DD15" s="43">
        <v>0.13372681281599999</v>
      </c>
      <c r="DE15" s="43">
        <v>0</v>
      </c>
      <c r="DF15" s="43">
        <v>0</v>
      </c>
      <c r="DG15" s="43">
        <v>1.8718381113000001E-2</v>
      </c>
      <c r="DH15" s="43">
        <v>1.68634064081E-4</v>
      </c>
      <c r="DI15" s="43">
        <v>0</v>
      </c>
      <c r="DJ15" s="43">
        <v>4.9409780775699998E-2</v>
      </c>
      <c r="DK15" s="43">
        <v>3.37268128162E-4</v>
      </c>
      <c r="DL15" s="43">
        <v>0</v>
      </c>
      <c r="DM15" s="43">
        <v>0</v>
      </c>
      <c r="DN15" s="43">
        <v>0</v>
      </c>
      <c r="DO15" s="43">
        <v>0</v>
      </c>
      <c r="DP15" s="43">
        <v>3.37268128162E-4</v>
      </c>
      <c r="DQ15" s="43">
        <v>6.8971332209099998E-2</v>
      </c>
      <c r="DR15" s="43">
        <v>2.0236087689700002E-3</v>
      </c>
      <c r="DS15" s="43">
        <v>3.3895446880300002E-2</v>
      </c>
      <c r="DT15" s="43">
        <v>9.9494097807800008E-3</v>
      </c>
      <c r="DU15" s="43">
        <v>3.7268128161899998E-2</v>
      </c>
      <c r="DV15" s="43">
        <v>0</v>
      </c>
      <c r="DW15" s="43">
        <v>2.3608768971300001E-3</v>
      </c>
      <c r="DX15" s="43">
        <v>0</v>
      </c>
      <c r="DY15" s="43">
        <v>0</v>
      </c>
      <c r="DZ15" s="43">
        <v>0</v>
      </c>
      <c r="EA15" s="43">
        <v>0</v>
      </c>
      <c r="EB15" s="43">
        <v>0.115008431703</v>
      </c>
      <c r="EC15" s="43">
        <v>0</v>
      </c>
      <c r="ED15" s="43">
        <v>7.5885328836400007E-2</v>
      </c>
      <c r="EE15" s="43">
        <v>3.87858347386E-3</v>
      </c>
      <c r="EF15" s="43">
        <v>1.68634064081E-4</v>
      </c>
      <c r="EG15" s="43">
        <v>1.21416526138E-2</v>
      </c>
      <c r="EH15" s="43">
        <v>0</v>
      </c>
      <c r="EI15" s="43">
        <v>1.3827993254599999E-2</v>
      </c>
      <c r="EJ15" s="43">
        <v>0</v>
      </c>
      <c r="EK15" s="43">
        <v>0</v>
      </c>
      <c r="EL15" s="43">
        <v>0</v>
      </c>
      <c r="EM15" s="43">
        <v>0</v>
      </c>
      <c r="EN15" s="43">
        <v>1.58516020236E-2</v>
      </c>
      <c r="EO15" s="43">
        <v>0</v>
      </c>
      <c r="EP15" s="43">
        <v>0</v>
      </c>
      <c r="EQ15" s="43">
        <v>0</v>
      </c>
      <c r="ER15" s="43">
        <v>0</v>
      </c>
      <c r="ES15" s="43">
        <v>0</v>
      </c>
      <c r="ET15" s="43">
        <v>0</v>
      </c>
      <c r="EU15" s="43">
        <v>0</v>
      </c>
      <c r="EV15" s="43">
        <v>0</v>
      </c>
      <c r="EW15" s="43">
        <v>0</v>
      </c>
      <c r="EX15" s="43">
        <v>0</v>
      </c>
      <c r="EY15" s="43">
        <v>2.81618887015E-2</v>
      </c>
      <c r="EZ15" s="43">
        <v>0</v>
      </c>
      <c r="FA15" s="43">
        <v>1.3490725126499999E-3</v>
      </c>
      <c r="FB15" s="43">
        <v>0</v>
      </c>
      <c r="FC15" s="43">
        <v>0</v>
      </c>
      <c r="FD15" s="43">
        <v>0</v>
      </c>
      <c r="FE15" s="43">
        <v>0</v>
      </c>
      <c r="FF15" s="43">
        <v>0</v>
      </c>
      <c r="FG15" s="43">
        <v>0</v>
      </c>
      <c r="FH15" s="43">
        <v>0</v>
      </c>
      <c r="FI15" s="43">
        <v>0</v>
      </c>
      <c r="FJ15" s="43">
        <v>0</v>
      </c>
      <c r="FK15" s="43">
        <v>0</v>
      </c>
      <c r="FL15" s="43">
        <v>0</v>
      </c>
      <c r="FM15" s="43">
        <v>0</v>
      </c>
      <c r="FN15" s="43">
        <v>0</v>
      </c>
      <c r="FO15" s="43">
        <v>6.12141652614E-2</v>
      </c>
      <c r="FP15" s="43">
        <v>0</v>
      </c>
      <c r="FQ15" s="43">
        <v>0</v>
      </c>
      <c r="FR15" s="43">
        <v>4.1483979763900003E-2</v>
      </c>
      <c r="FS15" s="43">
        <v>0</v>
      </c>
      <c r="FT15" s="43">
        <v>0</v>
      </c>
      <c r="FU15" s="43">
        <v>0</v>
      </c>
      <c r="FV15" s="43">
        <v>0</v>
      </c>
      <c r="FW15" s="43">
        <v>0</v>
      </c>
      <c r="FX15" s="43">
        <v>0</v>
      </c>
      <c r="FY15" s="43">
        <v>0</v>
      </c>
      <c r="FZ15" s="43">
        <v>0</v>
      </c>
      <c r="GA15" s="43">
        <v>0</v>
      </c>
      <c r="GB15" s="43">
        <v>0</v>
      </c>
      <c r="GC15" s="43">
        <v>0</v>
      </c>
      <c r="GD15" s="43">
        <v>0</v>
      </c>
    </row>
    <row r="16" spans="1:186" ht="16.5" x14ac:dyDescent="0.3">
      <c r="A16" s="21" t="s">
        <v>233</v>
      </c>
      <c r="B16" s="22" t="s">
        <v>1</v>
      </c>
      <c r="C16" s="23">
        <v>10.33</v>
      </c>
      <c r="D16" s="23" t="s">
        <v>183</v>
      </c>
      <c r="E16" s="24" t="s">
        <v>184</v>
      </c>
      <c r="F16" s="25" t="s">
        <v>234</v>
      </c>
      <c r="G16" s="26" t="s">
        <v>1</v>
      </c>
      <c r="H16" s="26" t="s">
        <v>184</v>
      </c>
      <c r="I16" s="27">
        <v>10</v>
      </c>
      <c r="J16" s="27">
        <v>142</v>
      </c>
      <c r="K16" s="27">
        <v>28</v>
      </c>
      <c r="L16" s="28">
        <f t="shared" si="0"/>
        <v>13.886133703630232</v>
      </c>
      <c r="M16" s="29">
        <v>3</v>
      </c>
      <c r="N16" s="30" t="s">
        <v>186</v>
      </c>
      <c r="O16" s="30" t="s">
        <v>186</v>
      </c>
      <c r="P16" s="30" t="s">
        <v>186</v>
      </c>
      <c r="Q16" s="30" t="s">
        <v>186</v>
      </c>
      <c r="R16" s="30" t="s">
        <v>186</v>
      </c>
      <c r="S16" s="31" t="s">
        <v>186</v>
      </c>
      <c r="T16" s="30" t="s">
        <v>186</v>
      </c>
      <c r="U16" s="30" t="s">
        <v>235</v>
      </c>
      <c r="V16" s="30" t="s">
        <v>236</v>
      </c>
      <c r="W16" s="30" t="s">
        <v>186</v>
      </c>
      <c r="X16" s="25">
        <v>1253.1004742088123</v>
      </c>
      <c r="Y16" s="25">
        <v>990.67463162117451</v>
      </c>
      <c r="Z16" s="25">
        <v>350.52173280324666</v>
      </c>
      <c r="AA16" s="25">
        <v>350.52173280324666</v>
      </c>
      <c r="AB16" s="25">
        <v>339.69716442333669</v>
      </c>
      <c r="AC16" s="25">
        <v>214.15015184527701</v>
      </c>
      <c r="AD16" s="32">
        <v>67.400000000000006</v>
      </c>
      <c r="AE16" s="32">
        <v>5.4225000000000003</v>
      </c>
      <c r="AF16" s="23" t="s">
        <v>183</v>
      </c>
      <c r="AG16" s="33">
        <v>75.5</v>
      </c>
      <c r="AH16" s="33">
        <v>15.5</v>
      </c>
      <c r="AI16" s="34">
        <f t="shared" si="5"/>
        <v>7.1821192052980143</v>
      </c>
      <c r="AJ16" s="34">
        <f t="shared" si="6"/>
        <v>34.983870967741936</v>
      </c>
      <c r="AK16" s="35">
        <v>75.5</v>
      </c>
      <c r="AL16" s="36">
        <f t="shared" si="7"/>
        <v>7.1821192052980143</v>
      </c>
      <c r="AM16" s="37">
        <v>15.5</v>
      </c>
      <c r="AN16" s="38">
        <f t="shared" si="8"/>
        <v>34.983870967741936</v>
      </c>
      <c r="AO16" s="39">
        <v>2263278.6294481298</v>
      </c>
      <c r="AP16" s="39">
        <v>499120480.03450602</v>
      </c>
      <c r="AQ16" s="39">
        <v>4727088.3551034201</v>
      </c>
      <c r="AR16" s="39">
        <v>205305533.19384399</v>
      </c>
      <c r="AT16" s="47">
        <v>0</v>
      </c>
      <c r="AU16" s="47">
        <v>0.68836424957800002</v>
      </c>
      <c r="AV16" s="47">
        <v>0</v>
      </c>
      <c r="AW16" s="47">
        <v>1.3827993254599999E-2</v>
      </c>
      <c r="AX16" s="47">
        <v>0</v>
      </c>
      <c r="AY16" s="47">
        <v>0.29780775716699998</v>
      </c>
      <c r="AZ16" s="47">
        <v>0</v>
      </c>
      <c r="BA16" s="47">
        <v>0</v>
      </c>
      <c r="BB16" s="47">
        <v>0</v>
      </c>
      <c r="BC16" s="47">
        <v>0</v>
      </c>
      <c r="BD16" s="47">
        <v>0</v>
      </c>
      <c r="BE16" s="47">
        <v>0</v>
      </c>
      <c r="BF16" s="47">
        <v>0</v>
      </c>
      <c r="BG16" s="48"/>
      <c r="BH16" s="43">
        <v>0</v>
      </c>
      <c r="BI16" s="43">
        <v>0</v>
      </c>
      <c r="BJ16" s="43">
        <v>0</v>
      </c>
      <c r="BK16" s="43">
        <v>0</v>
      </c>
      <c r="BL16" s="43">
        <v>0</v>
      </c>
      <c r="BM16" s="43">
        <v>0</v>
      </c>
      <c r="BN16" s="43">
        <v>0</v>
      </c>
      <c r="BO16" s="43">
        <v>0</v>
      </c>
      <c r="BP16" s="43">
        <v>0</v>
      </c>
      <c r="BQ16" s="43">
        <v>0</v>
      </c>
      <c r="BR16" s="43">
        <v>0</v>
      </c>
      <c r="BS16" s="43">
        <v>0</v>
      </c>
      <c r="BT16" s="43">
        <v>0.279932546374</v>
      </c>
      <c r="BU16" s="43">
        <v>0</v>
      </c>
      <c r="BV16" s="43">
        <v>0</v>
      </c>
      <c r="BW16" s="43">
        <v>0</v>
      </c>
      <c r="BX16" s="43">
        <v>0</v>
      </c>
      <c r="BY16" s="43">
        <v>1.7875210792599999E-2</v>
      </c>
      <c r="BZ16" s="43">
        <v>0</v>
      </c>
      <c r="CA16" s="43">
        <v>0</v>
      </c>
      <c r="CB16" s="43">
        <v>5.2276559865099999E-3</v>
      </c>
      <c r="CC16" s="43">
        <v>0</v>
      </c>
      <c r="CD16" s="43">
        <v>0</v>
      </c>
      <c r="CE16" s="43">
        <v>8.6003372681300004E-3</v>
      </c>
      <c r="CF16" s="43">
        <v>0</v>
      </c>
      <c r="CG16" s="43">
        <v>0</v>
      </c>
      <c r="CH16" s="43">
        <v>0</v>
      </c>
      <c r="CI16" s="43">
        <v>0</v>
      </c>
      <c r="CJ16" s="43">
        <v>0</v>
      </c>
      <c r="CK16" s="43">
        <v>0</v>
      </c>
      <c r="CL16" s="43">
        <v>0</v>
      </c>
      <c r="CM16" s="43">
        <v>0</v>
      </c>
      <c r="CN16" s="43">
        <v>0</v>
      </c>
      <c r="CO16" s="43">
        <v>0</v>
      </c>
      <c r="CP16" s="43">
        <v>0</v>
      </c>
      <c r="CQ16" s="43">
        <v>0</v>
      </c>
      <c r="CR16" s="43">
        <v>0</v>
      </c>
      <c r="CS16" s="43">
        <v>0</v>
      </c>
      <c r="CT16" s="43">
        <v>0</v>
      </c>
      <c r="CU16" s="43">
        <v>0</v>
      </c>
      <c r="CV16" s="43">
        <v>0</v>
      </c>
      <c r="CW16" s="43">
        <v>0</v>
      </c>
      <c r="CX16" s="43">
        <v>0</v>
      </c>
      <c r="CY16" s="43">
        <v>0</v>
      </c>
      <c r="CZ16" s="43">
        <v>0</v>
      </c>
      <c r="DA16" s="43">
        <v>0</v>
      </c>
      <c r="DB16" s="43">
        <v>0</v>
      </c>
      <c r="DC16" s="43">
        <v>0</v>
      </c>
      <c r="DD16" s="43">
        <v>6.8128161888699995E-2</v>
      </c>
      <c r="DE16" s="43">
        <v>0</v>
      </c>
      <c r="DF16" s="43">
        <v>0</v>
      </c>
      <c r="DG16" s="43">
        <v>8.9544688026999997E-2</v>
      </c>
      <c r="DH16" s="43">
        <v>0</v>
      </c>
      <c r="DI16" s="43">
        <v>0</v>
      </c>
      <c r="DJ16" s="43">
        <v>4.7048903878600001E-2</v>
      </c>
      <c r="DK16" s="43">
        <v>0</v>
      </c>
      <c r="DL16" s="43">
        <v>0</v>
      </c>
      <c r="DM16" s="43">
        <v>0</v>
      </c>
      <c r="DN16" s="43">
        <v>0</v>
      </c>
      <c r="DO16" s="43">
        <v>0</v>
      </c>
      <c r="DP16" s="43">
        <v>0</v>
      </c>
      <c r="DQ16" s="43">
        <v>0.13372681281599999</v>
      </c>
      <c r="DR16" s="43">
        <v>0</v>
      </c>
      <c r="DS16" s="43">
        <v>0</v>
      </c>
      <c r="DT16" s="43">
        <v>0</v>
      </c>
      <c r="DU16" s="43">
        <v>0</v>
      </c>
      <c r="DV16" s="43">
        <v>0</v>
      </c>
      <c r="DW16" s="43">
        <v>0</v>
      </c>
      <c r="DX16" s="43">
        <v>0</v>
      </c>
      <c r="DY16" s="43">
        <v>0</v>
      </c>
      <c r="DZ16" s="43">
        <v>0</v>
      </c>
      <c r="EA16" s="43">
        <v>0</v>
      </c>
      <c r="EB16" s="43">
        <v>0.194266441821</v>
      </c>
      <c r="EC16" s="43">
        <v>1.3490725126499999E-3</v>
      </c>
      <c r="ED16" s="43">
        <v>1.68634064081E-3</v>
      </c>
      <c r="EE16" s="43">
        <v>7.7403035413199997E-2</v>
      </c>
      <c r="EF16" s="43">
        <v>0</v>
      </c>
      <c r="EG16" s="43">
        <v>0</v>
      </c>
      <c r="EH16" s="43">
        <v>0</v>
      </c>
      <c r="EI16" s="43">
        <v>0</v>
      </c>
      <c r="EJ16" s="43">
        <v>0</v>
      </c>
      <c r="EK16" s="43">
        <v>0</v>
      </c>
      <c r="EL16" s="43">
        <v>0</v>
      </c>
      <c r="EM16" s="43">
        <v>0</v>
      </c>
      <c r="EN16" s="43">
        <v>0</v>
      </c>
      <c r="EO16" s="43">
        <v>0</v>
      </c>
      <c r="EP16" s="43">
        <v>3.70994940978E-3</v>
      </c>
      <c r="EQ16" s="43">
        <v>0</v>
      </c>
      <c r="ER16" s="43">
        <v>0</v>
      </c>
      <c r="ES16" s="43">
        <v>0</v>
      </c>
      <c r="ET16" s="43">
        <v>0</v>
      </c>
      <c r="EU16" s="43">
        <v>0</v>
      </c>
      <c r="EV16" s="43">
        <v>0</v>
      </c>
      <c r="EW16" s="43">
        <v>0</v>
      </c>
      <c r="EX16" s="43">
        <v>0</v>
      </c>
      <c r="EY16" s="43">
        <v>6.9645868465399996E-2</v>
      </c>
      <c r="EZ16" s="43">
        <v>0</v>
      </c>
      <c r="FA16" s="43">
        <v>0</v>
      </c>
      <c r="FB16" s="43">
        <v>0</v>
      </c>
      <c r="FC16" s="43">
        <v>0</v>
      </c>
      <c r="FD16" s="43">
        <v>0</v>
      </c>
      <c r="FE16" s="43">
        <v>1.85497470489E-3</v>
      </c>
      <c r="FF16" s="43">
        <v>0</v>
      </c>
      <c r="FG16" s="43">
        <v>0</v>
      </c>
      <c r="FH16" s="43">
        <v>0</v>
      </c>
      <c r="FI16" s="43">
        <v>0</v>
      </c>
      <c r="FJ16" s="43">
        <v>0</v>
      </c>
      <c r="FK16" s="43">
        <v>0</v>
      </c>
      <c r="FL16" s="43">
        <v>0</v>
      </c>
      <c r="FM16" s="43">
        <v>0</v>
      </c>
      <c r="FN16" s="43">
        <v>0</v>
      </c>
      <c r="FO16" s="43">
        <v>0</v>
      </c>
      <c r="FP16" s="43">
        <v>0</v>
      </c>
      <c r="FQ16" s="43">
        <v>0</v>
      </c>
      <c r="FR16" s="43">
        <v>0</v>
      </c>
      <c r="FS16" s="43">
        <v>0</v>
      </c>
      <c r="FT16" s="43">
        <v>0</v>
      </c>
      <c r="FU16" s="43">
        <v>0</v>
      </c>
      <c r="FV16" s="43">
        <v>0</v>
      </c>
      <c r="FW16" s="43">
        <v>0</v>
      </c>
      <c r="FX16" s="43">
        <v>0</v>
      </c>
      <c r="FY16" s="43">
        <v>0</v>
      </c>
      <c r="FZ16" s="43">
        <v>0</v>
      </c>
      <c r="GA16" s="43">
        <v>0</v>
      </c>
      <c r="GB16" s="43">
        <v>0</v>
      </c>
      <c r="GC16" s="43">
        <v>0</v>
      </c>
      <c r="GD16" s="43">
        <v>0</v>
      </c>
    </row>
    <row r="17" spans="1:186" ht="16.5" x14ac:dyDescent="0.3">
      <c r="A17" s="21" t="s">
        <v>237</v>
      </c>
      <c r="B17" s="22" t="s">
        <v>1</v>
      </c>
      <c r="C17" s="23">
        <v>11</v>
      </c>
      <c r="D17" s="23" t="s">
        <v>183</v>
      </c>
      <c r="E17" s="24" t="s">
        <v>184</v>
      </c>
      <c r="F17" s="25" t="s">
        <v>238</v>
      </c>
      <c r="G17" s="26" t="s">
        <v>1</v>
      </c>
      <c r="H17" s="26" t="s">
        <v>184</v>
      </c>
      <c r="I17" s="27">
        <v>11</v>
      </c>
      <c r="J17" s="27">
        <v>154</v>
      </c>
      <c r="K17" s="27">
        <v>39</v>
      </c>
      <c r="L17" s="28">
        <f t="shared" si="0"/>
        <v>16.444594366672288</v>
      </c>
      <c r="M17" s="29">
        <v>35</v>
      </c>
      <c r="N17" s="30" t="s">
        <v>186</v>
      </c>
      <c r="O17" s="30" t="s">
        <v>186</v>
      </c>
      <c r="P17" s="30" t="s">
        <v>186</v>
      </c>
      <c r="Q17" s="30" t="s">
        <v>186</v>
      </c>
      <c r="R17" s="30" t="s">
        <v>186</v>
      </c>
      <c r="S17" s="31" t="s">
        <v>186</v>
      </c>
      <c r="T17" s="30" t="s">
        <v>186</v>
      </c>
      <c r="U17" s="30" t="s">
        <v>211</v>
      </c>
      <c r="V17" s="30" t="s">
        <v>186</v>
      </c>
      <c r="W17" s="30" t="s">
        <v>186</v>
      </c>
      <c r="X17" s="25">
        <v>21035.200406545122</v>
      </c>
      <c r="Y17" s="25">
        <v>3539.2546223025784</v>
      </c>
      <c r="Z17" s="25">
        <v>473.36437004333692</v>
      </c>
      <c r="AA17" s="25">
        <v>14491.60229670851</v>
      </c>
      <c r="AB17" s="25">
        <v>432.64106832063555</v>
      </c>
      <c r="AC17" s="25">
        <v>2255.578704612542</v>
      </c>
      <c r="AD17" s="32">
        <v>383.75</v>
      </c>
      <c r="AE17" s="32">
        <v>43.42</v>
      </c>
      <c r="AF17" s="23" t="s">
        <v>183</v>
      </c>
      <c r="AG17" s="33">
        <v>66.2</v>
      </c>
      <c r="AH17" s="33">
        <v>14.7</v>
      </c>
      <c r="AI17" s="34">
        <f t="shared" si="5"/>
        <v>65.589123867069489</v>
      </c>
      <c r="AJ17" s="34">
        <f t="shared" si="6"/>
        <v>295.37414965986397</v>
      </c>
      <c r="AK17" s="35">
        <v>66.2</v>
      </c>
      <c r="AL17" s="36">
        <f t="shared" si="7"/>
        <v>65.589123867069489</v>
      </c>
      <c r="AM17" s="37">
        <v>14.7</v>
      </c>
      <c r="AN17" s="38">
        <f t="shared" si="8"/>
        <v>295.37414965986397</v>
      </c>
      <c r="AO17" s="39">
        <v>1528032.3037568999</v>
      </c>
      <c r="AP17" s="39">
        <v>150378494.54390699</v>
      </c>
      <c r="AQ17" s="39">
        <v>2732231.17269958</v>
      </c>
      <c r="AR17" s="39">
        <v>4396500.5538443103</v>
      </c>
      <c r="AT17" s="47">
        <v>0</v>
      </c>
      <c r="AU17" s="47">
        <v>0.94603709949399994</v>
      </c>
      <c r="AV17" s="47">
        <v>1.09612141653E-2</v>
      </c>
      <c r="AW17" s="47">
        <v>8.9376053962900003E-3</v>
      </c>
      <c r="AX17" s="47">
        <v>0</v>
      </c>
      <c r="AY17" s="47">
        <v>3.32209106239E-2</v>
      </c>
      <c r="AZ17" s="47">
        <v>0</v>
      </c>
      <c r="BA17" s="47">
        <v>0</v>
      </c>
      <c r="BB17" s="47">
        <v>5.0590219224299997E-4</v>
      </c>
      <c r="BC17" s="47">
        <v>0</v>
      </c>
      <c r="BD17" s="47">
        <v>0</v>
      </c>
      <c r="BE17" s="47">
        <v>3.37268128162E-4</v>
      </c>
      <c r="BF17" s="47">
        <v>0</v>
      </c>
      <c r="BG17" s="48"/>
      <c r="BH17" s="43">
        <v>5.0590219224299997E-4</v>
      </c>
      <c r="BI17" s="43">
        <v>0</v>
      </c>
      <c r="BJ17" s="43">
        <v>0</v>
      </c>
      <c r="BK17" s="43">
        <v>0</v>
      </c>
      <c r="BL17" s="43">
        <v>0</v>
      </c>
      <c r="BM17" s="43">
        <v>0</v>
      </c>
      <c r="BN17" s="43">
        <v>0</v>
      </c>
      <c r="BO17" s="43">
        <v>0</v>
      </c>
      <c r="BP17" s="43">
        <v>3.37268128162E-4</v>
      </c>
      <c r="BQ17" s="43">
        <v>0</v>
      </c>
      <c r="BR17" s="43">
        <v>0</v>
      </c>
      <c r="BS17" s="43">
        <v>0</v>
      </c>
      <c r="BT17" s="43">
        <v>0</v>
      </c>
      <c r="BU17" s="43">
        <v>2.8499156829700001E-2</v>
      </c>
      <c r="BV17" s="43">
        <v>1.3490725126499999E-3</v>
      </c>
      <c r="BW17" s="43">
        <v>3.0354131534600002E-3</v>
      </c>
      <c r="BX17" s="43">
        <v>0</v>
      </c>
      <c r="BY17" s="43">
        <v>0</v>
      </c>
      <c r="BZ17" s="43">
        <v>0</v>
      </c>
      <c r="CA17" s="43">
        <v>0</v>
      </c>
      <c r="CB17" s="43">
        <v>8.9376053962900003E-3</v>
      </c>
      <c r="CC17" s="43">
        <v>0</v>
      </c>
      <c r="CD17" s="43">
        <v>0</v>
      </c>
      <c r="CE17" s="43">
        <v>0</v>
      </c>
      <c r="CF17" s="43">
        <v>0</v>
      </c>
      <c r="CG17" s="43">
        <v>0</v>
      </c>
      <c r="CH17" s="43">
        <v>0</v>
      </c>
      <c r="CI17" s="43">
        <v>0</v>
      </c>
      <c r="CJ17" s="43">
        <v>0</v>
      </c>
      <c r="CK17" s="43">
        <v>0</v>
      </c>
      <c r="CL17" s="43">
        <v>0</v>
      </c>
      <c r="CM17" s="43">
        <v>0</v>
      </c>
      <c r="CN17" s="43">
        <v>0</v>
      </c>
      <c r="CO17" s="43">
        <v>0</v>
      </c>
      <c r="CP17" s="43">
        <v>0</v>
      </c>
      <c r="CQ17" s="43">
        <v>0</v>
      </c>
      <c r="CR17" s="43">
        <v>0</v>
      </c>
      <c r="CS17" s="43">
        <v>3.37268128162E-4</v>
      </c>
      <c r="CT17" s="43">
        <v>0</v>
      </c>
      <c r="CU17" s="43">
        <v>0</v>
      </c>
      <c r="CV17" s="43">
        <v>0</v>
      </c>
      <c r="CW17" s="43">
        <v>8.4317032040500002E-4</v>
      </c>
      <c r="CX17" s="43">
        <v>0</v>
      </c>
      <c r="CY17" s="43">
        <v>0</v>
      </c>
      <c r="CZ17" s="43">
        <v>0</v>
      </c>
      <c r="DA17" s="43">
        <v>0</v>
      </c>
      <c r="DB17" s="43">
        <v>0</v>
      </c>
      <c r="DC17" s="43">
        <v>0</v>
      </c>
      <c r="DD17" s="43">
        <v>1.4671163575E-2</v>
      </c>
      <c r="DE17" s="43">
        <v>0</v>
      </c>
      <c r="DF17" s="43">
        <v>4.3844856661000003E-3</v>
      </c>
      <c r="DG17" s="43">
        <v>5.6998313659400002E-2</v>
      </c>
      <c r="DH17" s="43">
        <v>0</v>
      </c>
      <c r="DI17" s="43">
        <v>0</v>
      </c>
      <c r="DJ17" s="43">
        <v>3.6593591905599999E-2</v>
      </c>
      <c r="DK17" s="43">
        <v>0</v>
      </c>
      <c r="DL17" s="43">
        <v>7.3524451939300003E-2</v>
      </c>
      <c r="DM17" s="43">
        <v>0</v>
      </c>
      <c r="DN17" s="43">
        <v>0</v>
      </c>
      <c r="DO17" s="43">
        <v>0</v>
      </c>
      <c r="DP17" s="43">
        <v>0</v>
      </c>
      <c r="DQ17" s="43">
        <v>9.8482293423300005E-2</v>
      </c>
      <c r="DR17" s="43">
        <v>1.11298482293E-2</v>
      </c>
      <c r="DS17" s="43">
        <v>3.2209106239499997E-2</v>
      </c>
      <c r="DT17" s="43">
        <v>0</v>
      </c>
      <c r="DU17" s="43">
        <v>0</v>
      </c>
      <c r="DV17" s="43">
        <v>0</v>
      </c>
      <c r="DW17" s="43">
        <v>0</v>
      </c>
      <c r="DX17" s="43">
        <v>0</v>
      </c>
      <c r="DY17" s="43">
        <v>1.85497470489E-3</v>
      </c>
      <c r="DZ17" s="43">
        <v>0</v>
      </c>
      <c r="EA17" s="43">
        <v>0</v>
      </c>
      <c r="EB17" s="43">
        <v>0.12040472175399999</v>
      </c>
      <c r="EC17" s="43">
        <v>0</v>
      </c>
      <c r="ED17" s="43">
        <v>0.20067453625600001</v>
      </c>
      <c r="EE17" s="43">
        <v>0.134401349073</v>
      </c>
      <c r="EF17" s="43">
        <v>0</v>
      </c>
      <c r="EG17" s="43">
        <v>4.1146711635799998E-2</v>
      </c>
      <c r="EH17" s="43">
        <v>0</v>
      </c>
      <c r="EI17" s="43">
        <v>0</v>
      </c>
      <c r="EJ17" s="43">
        <v>0</v>
      </c>
      <c r="EK17" s="43">
        <v>0</v>
      </c>
      <c r="EL17" s="43">
        <v>0</v>
      </c>
      <c r="EM17" s="43">
        <v>0</v>
      </c>
      <c r="EN17" s="43">
        <v>7.7571669477199999E-3</v>
      </c>
      <c r="EO17" s="43">
        <v>0</v>
      </c>
      <c r="EP17" s="43">
        <v>0</v>
      </c>
      <c r="EQ17" s="43">
        <v>0</v>
      </c>
      <c r="ER17" s="43">
        <v>0</v>
      </c>
      <c r="ES17" s="43">
        <v>0</v>
      </c>
      <c r="ET17" s="43">
        <v>0</v>
      </c>
      <c r="EU17" s="43">
        <v>0</v>
      </c>
      <c r="EV17" s="43">
        <v>0</v>
      </c>
      <c r="EW17" s="43">
        <v>0</v>
      </c>
      <c r="EX17" s="43">
        <v>0</v>
      </c>
      <c r="EY17" s="43">
        <v>0.110623946037</v>
      </c>
      <c r="EZ17" s="43">
        <v>0</v>
      </c>
      <c r="FA17" s="43">
        <v>0</v>
      </c>
      <c r="FB17" s="43">
        <v>0</v>
      </c>
      <c r="FC17" s="43">
        <v>0</v>
      </c>
      <c r="FD17" s="43">
        <v>0</v>
      </c>
      <c r="FE17" s="43">
        <v>0</v>
      </c>
      <c r="FF17" s="43">
        <v>0</v>
      </c>
      <c r="FG17" s="43">
        <v>0</v>
      </c>
      <c r="FH17" s="43">
        <v>0</v>
      </c>
      <c r="FI17" s="43">
        <v>0</v>
      </c>
      <c r="FJ17" s="43">
        <v>0</v>
      </c>
      <c r="FK17" s="43">
        <v>0</v>
      </c>
      <c r="FL17" s="43">
        <v>0</v>
      </c>
      <c r="FM17" s="43">
        <v>0</v>
      </c>
      <c r="FN17" s="43">
        <v>0</v>
      </c>
      <c r="FO17" s="43">
        <v>3.37268128162E-4</v>
      </c>
      <c r="FP17" s="43">
        <v>0</v>
      </c>
      <c r="FQ17" s="43">
        <v>0</v>
      </c>
      <c r="FR17" s="43">
        <v>1.0623946037100001E-2</v>
      </c>
      <c r="FS17" s="43">
        <v>0</v>
      </c>
      <c r="FT17" s="43">
        <v>0</v>
      </c>
      <c r="FU17" s="43">
        <v>0</v>
      </c>
      <c r="FV17" s="43">
        <v>0</v>
      </c>
      <c r="FW17" s="43">
        <v>0</v>
      </c>
      <c r="FX17" s="43">
        <v>3.37268128162E-4</v>
      </c>
      <c r="FY17" s="43">
        <v>0</v>
      </c>
      <c r="FZ17" s="43">
        <v>0</v>
      </c>
      <c r="GA17" s="43">
        <v>0</v>
      </c>
      <c r="GB17" s="43">
        <v>0</v>
      </c>
      <c r="GC17" s="43">
        <v>0</v>
      </c>
      <c r="GD17" s="43">
        <v>0</v>
      </c>
    </row>
    <row r="18" spans="1:186" ht="16.5" x14ac:dyDescent="0.3">
      <c r="A18" s="21" t="s">
        <v>239</v>
      </c>
      <c r="B18" s="22" t="s">
        <v>1</v>
      </c>
      <c r="C18" s="23">
        <v>11.5</v>
      </c>
      <c r="D18" s="23" t="s">
        <v>195</v>
      </c>
      <c r="E18" s="24" t="s">
        <v>184</v>
      </c>
      <c r="F18" s="25" t="s">
        <v>240</v>
      </c>
      <c r="G18" s="26" t="s">
        <v>1</v>
      </c>
      <c r="H18" s="26" t="s">
        <v>184</v>
      </c>
      <c r="I18" s="50">
        <v>11.5</v>
      </c>
      <c r="J18" s="50">
        <v>147.5</v>
      </c>
      <c r="K18" s="27">
        <v>37</v>
      </c>
      <c r="L18" s="28">
        <f t="shared" si="0"/>
        <v>17.006607296753806</v>
      </c>
      <c r="M18" s="29">
        <v>41</v>
      </c>
      <c r="N18" s="30" t="s">
        <v>186</v>
      </c>
      <c r="O18" s="30" t="s">
        <v>186</v>
      </c>
      <c r="P18" s="30" t="s">
        <v>186</v>
      </c>
      <c r="Q18" s="30" t="s">
        <v>186</v>
      </c>
      <c r="R18" s="30" t="s">
        <v>186</v>
      </c>
      <c r="S18" s="31" t="s">
        <v>186</v>
      </c>
      <c r="T18" s="30" t="s">
        <v>186</v>
      </c>
      <c r="U18" s="30" t="s">
        <v>241</v>
      </c>
      <c r="V18" s="30" t="s">
        <v>186</v>
      </c>
      <c r="W18" s="30" t="s">
        <v>186</v>
      </c>
      <c r="X18" s="25">
        <v>1569.4914438394746</v>
      </c>
      <c r="Y18" s="25">
        <v>659.08673407959839</v>
      </c>
      <c r="Z18" s="25">
        <v>278.89228802759362</v>
      </c>
      <c r="AA18" s="25">
        <v>4253.6276223760015</v>
      </c>
      <c r="AB18" s="25">
        <v>216.51634048693876</v>
      </c>
      <c r="AC18" s="25">
        <v>127.21232289958277</v>
      </c>
      <c r="AD18" s="32">
        <v>81.150000000000006</v>
      </c>
      <c r="AE18" s="32">
        <v>96.8125</v>
      </c>
      <c r="AF18" s="23" t="s">
        <v>195</v>
      </c>
      <c r="AG18" s="33">
        <v>60</v>
      </c>
      <c r="AH18" s="33">
        <v>13.9</v>
      </c>
      <c r="AI18" s="34">
        <f t="shared" si="5"/>
        <v>161.35416666666666</v>
      </c>
      <c r="AJ18" s="34">
        <f t="shared" si="6"/>
        <v>696.49280575539569</v>
      </c>
      <c r="AK18" s="35">
        <v>60</v>
      </c>
      <c r="AL18" s="36">
        <f t="shared" si="7"/>
        <v>161.35416666666666</v>
      </c>
      <c r="AM18" s="37">
        <v>13.9</v>
      </c>
      <c r="AN18" s="38">
        <f t="shared" si="8"/>
        <v>696.49280575539569</v>
      </c>
      <c r="AO18" s="39">
        <v>1043006.2864002601</v>
      </c>
      <c r="AP18" s="39">
        <v>651019468.20359004</v>
      </c>
      <c r="AQ18" s="39">
        <v>2861521.5992417</v>
      </c>
      <c r="AR18" s="39">
        <v>58106593.743175097</v>
      </c>
      <c r="AT18" s="47">
        <v>0</v>
      </c>
      <c r="AU18" s="47">
        <v>0.60337268128199995</v>
      </c>
      <c r="AV18" s="47">
        <v>6.74536256324E-4</v>
      </c>
      <c r="AW18" s="47">
        <v>1.1973018549699999E-2</v>
      </c>
      <c r="AX18" s="47">
        <v>0</v>
      </c>
      <c r="AY18" s="47">
        <v>0.38397976391200001</v>
      </c>
      <c r="AZ18" s="47">
        <v>0</v>
      </c>
      <c r="BA18" s="47">
        <v>0</v>
      </c>
      <c r="BB18" s="47">
        <v>0</v>
      </c>
      <c r="BC18" s="47">
        <v>0</v>
      </c>
      <c r="BD18" s="47">
        <v>0</v>
      </c>
      <c r="BE18" s="47">
        <v>0</v>
      </c>
      <c r="BF18" s="47">
        <v>0</v>
      </c>
      <c r="BG18" s="48"/>
      <c r="BH18" s="43">
        <v>0</v>
      </c>
      <c r="BI18" s="43">
        <v>0</v>
      </c>
      <c r="BJ18" s="43">
        <v>0</v>
      </c>
      <c r="BK18" s="43">
        <v>0</v>
      </c>
      <c r="BL18" s="43">
        <v>0</v>
      </c>
      <c r="BM18" s="43">
        <v>0</v>
      </c>
      <c r="BN18" s="43">
        <v>0</v>
      </c>
      <c r="BO18" s="43">
        <v>0</v>
      </c>
      <c r="BP18" s="43">
        <v>0</v>
      </c>
      <c r="BQ18" s="43">
        <v>0</v>
      </c>
      <c r="BR18" s="43">
        <v>0</v>
      </c>
      <c r="BS18" s="43">
        <v>0</v>
      </c>
      <c r="BT18" s="43">
        <v>0.229173693086</v>
      </c>
      <c r="BU18" s="43">
        <v>0</v>
      </c>
      <c r="BV18" s="43">
        <v>0</v>
      </c>
      <c r="BW18" s="43">
        <v>0</v>
      </c>
      <c r="BX18" s="43">
        <v>0.15480607082600001</v>
      </c>
      <c r="BY18" s="43">
        <v>0</v>
      </c>
      <c r="BZ18" s="43">
        <v>0</v>
      </c>
      <c r="CA18" s="43">
        <v>0</v>
      </c>
      <c r="CB18" s="43">
        <v>9.7807757166899992E-3</v>
      </c>
      <c r="CC18" s="43">
        <v>0</v>
      </c>
      <c r="CD18" s="43">
        <v>0</v>
      </c>
      <c r="CE18" s="43">
        <v>0</v>
      </c>
      <c r="CF18" s="43">
        <v>0</v>
      </c>
      <c r="CG18" s="43">
        <v>2.1922428330500001E-3</v>
      </c>
      <c r="CH18" s="43">
        <v>0</v>
      </c>
      <c r="CI18" s="43">
        <v>0</v>
      </c>
      <c r="CJ18" s="43">
        <v>0</v>
      </c>
      <c r="CK18" s="43">
        <v>0</v>
      </c>
      <c r="CL18" s="43">
        <v>0</v>
      </c>
      <c r="CM18" s="43">
        <v>0</v>
      </c>
      <c r="CN18" s="43">
        <v>0</v>
      </c>
      <c r="CO18" s="43">
        <v>0</v>
      </c>
      <c r="CP18" s="43">
        <v>0</v>
      </c>
      <c r="CQ18" s="43">
        <v>0</v>
      </c>
      <c r="CR18" s="43">
        <v>0</v>
      </c>
      <c r="CS18" s="43">
        <v>0</v>
      </c>
      <c r="CT18" s="43">
        <v>0</v>
      </c>
      <c r="CU18" s="43">
        <v>1.18043844857E-3</v>
      </c>
      <c r="CV18" s="43">
        <v>0</v>
      </c>
      <c r="CW18" s="43">
        <v>1.18043844857E-3</v>
      </c>
      <c r="CX18" s="43">
        <v>0</v>
      </c>
      <c r="CY18" s="43">
        <v>0</v>
      </c>
      <c r="CZ18" s="43">
        <v>0</v>
      </c>
      <c r="DA18" s="43">
        <v>0</v>
      </c>
      <c r="DB18" s="43">
        <v>0</v>
      </c>
      <c r="DC18" s="43">
        <v>0</v>
      </c>
      <c r="DD18" s="43">
        <v>4.89038785835E-3</v>
      </c>
      <c r="DE18" s="43">
        <v>0</v>
      </c>
      <c r="DF18" s="43">
        <v>0</v>
      </c>
      <c r="DG18" s="43">
        <v>9.7976391231000007E-2</v>
      </c>
      <c r="DH18" s="43">
        <v>0</v>
      </c>
      <c r="DI18" s="43">
        <v>0</v>
      </c>
      <c r="DJ18" s="43">
        <v>0</v>
      </c>
      <c r="DK18" s="43">
        <v>0</v>
      </c>
      <c r="DL18" s="43">
        <v>0</v>
      </c>
      <c r="DM18" s="43">
        <v>0</v>
      </c>
      <c r="DN18" s="43">
        <v>0</v>
      </c>
      <c r="DO18" s="43">
        <v>0</v>
      </c>
      <c r="DP18" s="43">
        <v>0</v>
      </c>
      <c r="DQ18" s="43">
        <v>0.27689713322100001</v>
      </c>
      <c r="DR18" s="43">
        <v>0</v>
      </c>
      <c r="DS18" s="43">
        <v>8.0101180438400005E-2</v>
      </c>
      <c r="DT18" s="43">
        <v>0</v>
      </c>
      <c r="DU18" s="43">
        <v>0</v>
      </c>
      <c r="DV18" s="43">
        <v>0</v>
      </c>
      <c r="DW18" s="43">
        <v>0</v>
      </c>
      <c r="DX18" s="43">
        <v>0</v>
      </c>
      <c r="DY18" s="43">
        <v>0</v>
      </c>
      <c r="DZ18" s="43">
        <v>6.5767284991600002E-3</v>
      </c>
      <c r="EA18" s="43">
        <v>0</v>
      </c>
      <c r="EB18" s="43">
        <v>6.74536256324E-4</v>
      </c>
      <c r="EC18" s="43">
        <v>0</v>
      </c>
      <c r="ED18" s="43">
        <v>5.6492411467099997E-2</v>
      </c>
      <c r="EE18" s="43">
        <v>4.1146711635799998E-2</v>
      </c>
      <c r="EF18" s="43">
        <v>8.4317032040500002E-4</v>
      </c>
      <c r="EG18" s="43">
        <v>3.3558178752100001E-2</v>
      </c>
      <c r="EH18" s="43">
        <v>0</v>
      </c>
      <c r="EI18" s="43">
        <v>0</v>
      </c>
      <c r="EJ18" s="43">
        <v>0</v>
      </c>
      <c r="EK18" s="43">
        <v>0</v>
      </c>
      <c r="EL18" s="43">
        <v>0</v>
      </c>
      <c r="EM18" s="43">
        <v>0</v>
      </c>
      <c r="EN18" s="43">
        <v>0</v>
      </c>
      <c r="EO18" s="43">
        <v>0</v>
      </c>
      <c r="EP18" s="43">
        <v>0</v>
      </c>
      <c r="EQ18" s="43">
        <v>0</v>
      </c>
      <c r="ER18" s="43">
        <v>0</v>
      </c>
      <c r="ES18" s="43">
        <v>0</v>
      </c>
      <c r="ET18" s="43">
        <v>0</v>
      </c>
      <c r="EU18" s="43">
        <v>0</v>
      </c>
      <c r="EV18" s="43">
        <v>0</v>
      </c>
      <c r="EW18" s="43">
        <v>0</v>
      </c>
      <c r="EX18" s="43">
        <v>0</v>
      </c>
      <c r="EY18" s="43">
        <v>1.85497470489E-3</v>
      </c>
      <c r="EZ18" s="43">
        <v>0</v>
      </c>
      <c r="FA18" s="43">
        <v>0</v>
      </c>
      <c r="FB18" s="43">
        <v>0</v>
      </c>
      <c r="FC18" s="43">
        <v>0</v>
      </c>
      <c r="FD18" s="43">
        <v>0</v>
      </c>
      <c r="FE18" s="43">
        <v>0</v>
      </c>
      <c r="FF18" s="43">
        <v>0</v>
      </c>
      <c r="FG18" s="43">
        <v>0</v>
      </c>
      <c r="FH18" s="43">
        <v>0</v>
      </c>
      <c r="FI18" s="43">
        <v>0</v>
      </c>
      <c r="FJ18" s="43">
        <v>6.74536256324E-4</v>
      </c>
      <c r="FK18" s="43">
        <v>0</v>
      </c>
      <c r="FL18" s="43">
        <v>0</v>
      </c>
      <c r="FM18" s="43">
        <v>0</v>
      </c>
      <c r="FN18" s="43">
        <v>0</v>
      </c>
      <c r="FO18" s="43">
        <v>0</v>
      </c>
      <c r="FP18" s="43">
        <v>0</v>
      </c>
      <c r="FQ18" s="43">
        <v>0</v>
      </c>
      <c r="FR18" s="43">
        <v>0</v>
      </c>
      <c r="FS18" s="43">
        <v>0</v>
      </c>
      <c r="FT18" s="43">
        <v>0</v>
      </c>
      <c r="FU18" s="43">
        <v>0</v>
      </c>
      <c r="FV18" s="43">
        <v>0</v>
      </c>
      <c r="FW18" s="43">
        <v>0</v>
      </c>
      <c r="FX18" s="43">
        <v>0</v>
      </c>
      <c r="FY18" s="43">
        <v>0</v>
      </c>
      <c r="FZ18" s="43">
        <v>0</v>
      </c>
      <c r="GA18" s="43">
        <v>0</v>
      </c>
      <c r="GB18" s="43">
        <v>0</v>
      </c>
      <c r="GC18" s="43">
        <v>0</v>
      </c>
      <c r="GD18" s="43">
        <v>0</v>
      </c>
    </row>
    <row r="19" spans="1:186" ht="16.5" x14ac:dyDescent="0.3">
      <c r="A19" s="21" t="s">
        <v>242</v>
      </c>
      <c r="B19" s="22" t="s">
        <v>1</v>
      </c>
      <c r="C19" s="23">
        <v>9.58</v>
      </c>
      <c r="D19" s="23" t="s">
        <v>183</v>
      </c>
      <c r="E19" s="24" t="s">
        <v>243</v>
      </c>
      <c r="F19" s="25" t="s">
        <v>244</v>
      </c>
      <c r="G19" s="26" t="s">
        <v>1</v>
      </c>
      <c r="H19" s="51" t="s">
        <v>243</v>
      </c>
      <c r="I19" s="52">
        <v>9</v>
      </c>
      <c r="J19" s="52">
        <v>131</v>
      </c>
      <c r="K19" s="52">
        <v>25</v>
      </c>
      <c r="L19" s="53">
        <f t="shared" si="0"/>
        <v>14.567915622632713</v>
      </c>
      <c r="M19" s="54">
        <v>16</v>
      </c>
      <c r="N19" s="30" t="s">
        <v>186</v>
      </c>
      <c r="O19" s="30" t="s">
        <v>186</v>
      </c>
      <c r="P19" s="30" t="s">
        <v>186</v>
      </c>
      <c r="Q19" s="30" t="s">
        <v>186</v>
      </c>
      <c r="R19" s="30" t="s">
        <v>186</v>
      </c>
      <c r="S19" s="31" t="s">
        <v>186</v>
      </c>
      <c r="T19" s="30" t="s">
        <v>186</v>
      </c>
      <c r="U19" s="30" t="s">
        <v>245</v>
      </c>
      <c r="V19" s="30" t="s">
        <v>207</v>
      </c>
      <c r="W19" s="30" t="s">
        <v>186</v>
      </c>
      <c r="X19" s="25">
        <v>1835.7168185317671</v>
      </c>
      <c r="Y19" s="25">
        <v>469.10648825511316</v>
      </c>
      <c r="Z19" s="25">
        <v>131.47021198568962</v>
      </c>
      <c r="AA19" s="25">
        <v>2042.4513230889515</v>
      </c>
      <c r="AB19" s="25">
        <v>101.90380458751115</v>
      </c>
      <c r="AC19" s="25">
        <v>295.24914161035622</v>
      </c>
      <c r="AD19" s="32">
        <v>216.3</v>
      </c>
      <c r="AE19" s="32">
        <v>22.952500000000001</v>
      </c>
      <c r="AF19" s="23" t="s">
        <v>183</v>
      </c>
      <c r="AG19" s="33">
        <v>87.51</v>
      </c>
      <c r="AH19" s="33">
        <v>16.399999999999999</v>
      </c>
      <c r="AI19" s="34">
        <f t="shared" si="5"/>
        <v>26.228431036452974</v>
      </c>
      <c r="AJ19" s="34">
        <f t="shared" si="6"/>
        <v>139.95426829268294</v>
      </c>
      <c r="AK19" s="35">
        <v>87.51</v>
      </c>
      <c r="AL19" s="36">
        <f t="shared" si="7"/>
        <v>26.228431036452974</v>
      </c>
      <c r="AM19" s="37">
        <v>16.399999999999999</v>
      </c>
      <c r="AN19" s="38">
        <f t="shared" si="8"/>
        <v>139.95426829268294</v>
      </c>
      <c r="AO19" s="39">
        <v>4104295.4976206599</v>
      </c>
      <c r="AP19" s="39">
        <v>139196109.18237901</v>
      </c>
      <c r="AQ19" s="39">
        <v>4033686.9432362602</v>
      </c>
      <c r="AR19" s="39">
        <v>75869869.372198403</v>
      </c>
      <c r="AT19" s="47">
        <v>1.5177065767300001E-3</v>
      </c>
      <c r="AU19" s="47">
        <v>0.70994940978099996</v>
      </c>
      <c r="AV19" s="47">
        <v>3.37268128162E-4</v>
      </c>
      <c r="AW19" s="47">
        <v>1.0118043844900001E-2</v>
      </c>
      <c r="AX19" s="47">
        <v>3.2040472175400001E-3</v>
      </c>
      <c r="AY19" s="47">
        <v>0.27217537942699999</v>
      </c>
      <c r="AZ19" s="47">
        <v>0</v>
      </c>
      <c r="BA19" s="47">
        <v>0</v>
      </c>
      <c r="BB19" s="47">
        <v>3.37268128162E-4</v>
      </c>
      <c r="BC19" s="47">
        <v>2.3608768971300001E-3</v>
      </c>
      <c r="BD19" s="47">
        <v>0</v>
      </c>
      <c r="BE19" s="47">
        <v>0</v>
      </c>
      <c r="BF19" s="47">
        <v>0</v>
      </c>
      <c r="BG19" s="48"/>
      <c r="BH19" s="43">
        <v>3.37268128162E-4</v>
      </c>
      <c r="BI19" s="43">
        <v>0</v>
      </c>
      <c r="BJ19" s="43">
        <v>0</v>
      </c>
      <c r="BK19" s="43">
        <v>0</v>
      </c>
      <c r="BL19" s="43">
        <v>0</v>
      </c>
      <c r="BM19" s="43">
        <v>1.3490725126499999E-3</v>
      </c>
      <c r="BN19" s="43">
        <v>0</v>
      </c>
      <c r="BO19" s="43">
        <v>0</v>
      </c>
      <c r="BP19" s="43">
        <v>0</v>
      </c>
      <c r="BQ19" s="43">
        <v>0</v>
      </c>
      <c r="BR19" s="43">
        <v>0</v>
      </c>
      <c r="BS19" s="43">
        <v>0</v>
      </c>
      <c r="BT19" s="43">
        <v>0.15952782462099999</v>
      </c>
      <c r="BU19" s="43">
        <v>0</v>
      </c>
      <c r="BV19" s="43">
        <v>0</v>
      </c>
      <c r="BW19" s="43">
        <v>0</v>
      </c>
      <c r="BX19" s="43">
        <v>0.101854974705</v>
      </c>
      <c r="BY19" s="43">
        <v>9.4435075885299993E-3</v>
      </c>
      <c r="BZ19" s="43">
        <v>0</v>
      </c>
      <c r="CA19" s="43">
        <v>0</v>
      </c>
      <c r="CB19" s="43">
        <v>7.58853288364E-3</v>
      </c>
      <c r="CC19" s="43">
        <v>0</v>
      </c>
      <c r="CD19" s="43">
        <v>0</v>
      </c>
      <c r="CE19" s="43">
        <v>3.37268128162E-4</v>
      </c>
      <c r="CF19" s="43">
        <v>0</v>
      </c>
      <c r="CG19" s="43">
        <v>8.4317032040500002E-4</v>
      </c>
      <c r="CH19" s="43">
        <v>0</v>
      </c>
      <c r="CI19" s="43">
        <v>1.3490725126499999E-3</v>
      </c>
      <c r="CJ19" s="43">
        <v>0</v>
      </c>
      <c r="CK19" s="43">
        <v>0</v>
      </c>
      <c r="CL19" s="43">
        <v>0</v>
      </c>
      <c r="CM19" s="43">
        <v>0</v>
      </c>
      <c r="CN19" s="43">
        <v>2.3608768971300001E-3</v>
      </c>
      <c r="CO19" s="43">
        <v>0</v>
      </c>
      <c r="CP19" s="43">
        <v>0</v>
      </c>
      <c r="CQ19" s="43">
        <v>0</v>
      </c>
      <c r="CR19" s="43">
        <v>0</v>
      </c>
      <c r="CS19" s="43">
        <v>1.01180438449E-3</v>
      </c>
      <c r="CT19" s="43">
        <v>0</v>
      </c>
      <c r="CU19" s="43">
        <v>0</v>
      </c>
      <c r="CV19" s="43">
        <v>0</v>
      </c>
      <c r="CW19" s="43">
        <v>0</v>
      </c>
      <c r="CX19" s="43">
        <v>0</v>
      </c>
      <c r="CY19" s="43">
        <v>0</v>
      </c>
      <c r="CZ19" s="43">
        <v>6.74536256324E-4</v>
      </c>
      <c r="DA19" s="43">
        <v>0</v>
      </c>
      <c r="DB19" s="43">
        <v>0</v>
      </c>
      <c r="DC19" s="43">
        <v>0</v>
      </c>
      <c r="DD19" s="43">
        <v>0</v>
      </c>
      <c r="DE19" s="43">
        <v>1.82124789207E-2</v>
      </c>
      <c r="DF19" s="43">
        <v>0</v>
      </c>
      <c r="DG19" s="43">
        <v>1.28161888702E-2</v>
      </c>
      <c r="DH19" s="43">
        <v>0</v>
      </c>
      <c r="DI19" s="43">
        <v>0</v>
      </c>
      <c r="DJ19" s="43">
        <v>0</v>
      </c>
      <c r="DK19" s="43">
        <v>0</v>
      </c>
      <c r="DL19" s="43">
        <v>0</v>
      </c>
      <c r="DM19" s="43">
        <v>0</v>
      </c>
      <c r="DN19" s="43">
        <v>0</v>
      </c>
      <c r="DO19" s="43">
        <v>0</v>
      </c>
      <c r="DP19" s="43">
        <v>0</v>
      </c>
      <c r="DQ19" s="43">
        <v>9.3591905564900005E-2</v>
      </c>
      <c r="DR19" s="43">
        <v>0</v>
      </c>
      <c r="DS19" s="43">
        <v>8.7183811129800004E-2</v>
      </c>
      <c r="DT19" s="43">
        <v>0</v>
      </c>
      <c r="DU19" s="43">
        <v>0</v>
      </c>
      <c r="DV19" s="43">
        <v>0</v>
      </c>
      <c r="DW19" s="43">
        <v>0</v>
      </c>
      <c r="DX19" s="43">
        <v>0</v>
      </c>
      <c r="DY19" s="43">
        <v>0</v>
      </c>
      <c r="DZ19" s="43">
        <v>0</v>
      </c>
      <c r="EA19" s="43">
        <v>0</v>
      </c>
      <c r="EB19" s="43">
        <v>0.28937605396299998</v>
      </c>
      <c r="EC19" s="43">
        <v>0</v>
      </c>
      <c r="ED19" s="43">
        <v>8.7352445193899994E-2</v>
      </c>
      <c r="EE19" s="43">
        <v>2.5463743676199999E-2</v>
      </c>
      <c r="EF19" s="43">
        <v>0</v>
      </c>
      <c r="EG19" s="43">
        <v>2.0236087689700002E-3</v>
      </c>
      <c r="EH19" s="43">
        <v>0</v>
      </c>
      <c r="EI19" s="43">
        <v>3.3726812816200001E-3</v>
      </c>
      <c r="EJ19" s="43">
        <v>0</v>
      </c>
      <c r="EK19" s="43">
        <v>0</v>
      </c>
      <c r="EL19" s="43">
        <v>0</v>
      </c>
      <c r="EM19" s="43">
        <v>0</v>
      </c>
      <c r="EN19" s="43">
        <v>0</v>
      </c>
      <c r="EO19" s="43">
        <v>0</v>
      </c>
      <c r="EP19" s="43">
        <v>0</v>
      </c>
      <c r="EQ19" s="43">
        <v>0</v>
      </c>
      <c r="ER19" s="43">
        <v>0</v>
      </c>
      <c r="ES19" s="43">
        <v>0</v>
      </c>
      <c r="ET19" s="43">
        <v>0</v>
      </c>
      <c r="EU19" s="43">
        <v>0</v>
      </c>
      <c r="EV19" s="43">
        <v>0</v>
      </c>
      <c r="EW19" s="43">
        <v>0</v>
      </c>
      <c r="EX19" s="43">
        <v>0</v>
      </c>
      <c r="EY19" s="43">
        <v>8.8870151770699998E-2</v>
      </c>
      <c r="EZ19" s="43">
        <v>0</v>
      </c>
      <c r="FA19" s="43">
        <v>0</v>
      </c>
      <c r="FB19" s="43">
        <v>0</v>
      </c>
      <c r="FC19" s="43">
        <v>0</v>
      </c>
      <c r="FD19" s="43">
        <v>0</v>
      </c>
      <c r="FE19" s="43">
        <v>0</v>
      </c>
      <c r="FF19" s="43">
        <v>0</v>
      </c>
      <c r="FG19" s="43">
        <v>0</v>
      </c>
      <c r="FH19" s="43">
        <v>0</v>
      </c>
      <c r="FI19" s="43">
        <v>0</v>
      </c>
      <c r="FJ19" s="43">
        <v>0</v>
      </c>
      <c r="FK19" s="43">
        <v>0</v>
      </c>
      <c r="FL19" s="43">
        <v>0</v>
      </c>
      <c r="FM19" s="43">
        <v>0</v>
      </c>
      <c r="FN19" s="43">
        <v>0</v>
      </c>
      <c r="FO19" s="43">
        <v>0</v>
      </c>
      <c r="FP19" s="43">
        <v>0</v>
      </c>
      <c r="FQ19" s="43">
        <v>0</v>
      </c>
      <c r="FR19" s="43">
        <v>3.37268128162E-4</v>
      </c>
      <c r="FS19" s="43">
        <v>0</v>
      </c>
      <c r="FT19" s="43">
        <v>0</v>
      </c>
      <c r="FU19" s="43">
        <v>0</v>
      </c>
      <c r="FV19" s="43">
        <v>0</v>
      </c>
      <c r="FW19" s="43">
        <v>0</v>
      </c>
      <c r="FX19" s="43">
        <v>0</v>
      </c>
      <c r="FY19" s="43">
        <v>0</v>
      </c>
      <c r="FZ19" s="43">
        <v>3.2040472175400001E-3</v>
      </c>
      <c r="GA19" s="43">
        <v>0</v>
      </c>
      <c r="GB19" s="43">
        <v>0</v>
      </c>
      <c r="GC19" s="43">
        <v>1.5177065767300001E-3</v>
      </c>
      <c r="GD19" s="43">
        <v>0</v>
      </c>
    </row>
    <row r="20" spans="1:186" ht="16.5" x14ac:dyDescent="0.3">
      <c r="A20" s="21" t="s">
        <v>246</v>
      </c>
      <c r="B20" s="22" t="s">
        <v>1</v>
      </c>
      <c r="C20" s="23">
        <v>12.17</v>
      </c>
      <c r="D20" s="23" t="s">
        <v>195</v>
      </c>
      <c r="E20" s="24" t="s">
        <v>184</v>
      </c>
      <c r="F20" s="25" t="s">
        <v>247</v>
      </c>
      <c r="G20" s="26" t="s">
        <v>1</v>
      </c>
      <c r="H20" s="26" t="s">
        <v>184</v>
      </c>
      <c r="I20" s="27">
        <v>12</v>
      </c>
      <c r="J20" s="27">
        <v>152</v>
      </c>
      <c r="K20" s="27">
        <v>43</v>
      </c>
      <c r="L20" s="28">
        <f t="shared" si="0"/>
        <v>18.611495844875346</v>
      </c>
      <c r="M20" s="29">
        <v>62</v>
      </c>
      <c r="N20" s="30" t="s">
        <v>186</v>
      </c>
      <c r="O20" s="30" t="s">
        <v>186</v>
      </c>
      <c r="P20" s="30" t="s">
        <v>186</v>
      </c>
      <c r="Q20" s="30" t="s">
        <v>186</v>
      </c>
      <c r="R20" s="30" t="s">
        <v>186</v>
      </c>
      <c r="S20" s="31" t="s">
        <v>186</v>
      </c>
      <c r="T20" s="30" t="s">
        <v>186</v>
      </c>
      <c r="U20" s="30" t="s">
        <v>186</v>
      </c>
      <c r="V20" s="30" t="s">
        <v>186</v>
      </c>
      <c r="W20" s="30" t="s">
        <v>186</v>
      </c>
      <c r="X20" s="25">
        <v>4940.6805317782755</v>
      </c>
      <c r="Y20" s="25">
        <v>1320.0919351831403</v>
      </c>
      <c r="Z20" s="25">
        <v>279.00652040459715</v>
      </c>
      <c r="AA20" s="25">
        <v>2124.4773799543095</v>
      </c>
      <c r="AB20" s="25">
        <v>461.05315001751717</v>
      </c>
      <c r="AC20" s="25">
        <v>531.15031021557024</v>
      </c>
      <c r="AD20" s="32">
        <v>268.5</v>
      </c>
      <c r="AE20" s="32">
        <v>53.36</v>
      </c>
      <c r="AF20" s="23" t="s">
        <v>195</v>
      </c>
      <c r="AG20" s="33">
        <v>54.4</v>
      </c>
      <c r="AH20" s="33">
        <v>13.9</v>
      </c>
      <c r="AI20" s="34">
        <f t="shared" si="5"/>
        <v>98.088235294117652</v>
      </c>
      <c r="AJ20" s="34">
        <f t="shared" si="6"/>
        <v>383.88489208633092</v>
      </c>
      <c r="AK20" s="35">
        <v>54.4</v>
      </c>
      <c r="AL20" s="36">
        <f t="shared" si="7"/>
        <v>98.088235294117652</v>
      </c>
      <c r="AM20" s="37">
        <v>13.9</v>
      </c>
      <c r="AN20" s="38">
        <f t="shared" si="8"/>
        <v>383.88489208633092</v>
      </c>
      <c r="AO20" s="39">
        <v>1160790.0356446099</v>
      </c>
      <c r="AP20" s="39">
        <v>257590639.45192</v>
      </c>
      <c r="AQ20" s="39">
        <v>3302237.4610126601</v>
      </c>
      <c r="AR20" s="39">
        <v>84629375.903973594</v>
      </c>
      <c r="AT20" s="47">
        <v>0</v>
      </c>
      <c r="AU20" s="47">
        <v>0.80219224283299995</v>
      </c>
      <c r="AV20" s="47">
        <v>1.5177065767300001E-3</v>
      </c>
      <c r="AW20" s="47">
        <v>6.7622259696500001E-2</v>
      </c>
      <c r="AX20" s="47">
        <v>0</v>
      </c>
      <c r="AY20" s="47">
        <v>0.12866779089399999</v>
      </c>
      <c r="AZ20" s="47">
        <v>0</v>
      </c>
      <c r="BA20" s="47">
        <v>0</v>
      </c>
      <c r="BB20" s="47">
        <v>0</v>
      </c>
      <c r="BC20" s="47">
        <v>0</v>
      </c>
      <c r="BD20" s="47">
        <v>0</v>
      </c>
      <c r="BE20" s="47">
        <v>0</v>
      </c>
      <c r="BF20" s="47">
        <v>0</v>
      </c>
      <c r="BG20" s="48"/>
      <c r="BH20" s="43">
        <v>0</v>
      </c>
      <c r="BI20" s="43">
        <v>0</v>
      </c>
      <c r="BJ20" s="43">
        <v>0</v>
      </c>
      <c r="BK20" s="43">
        <v>0</v>
      </c>
      <c r="BL20" s="43">
        <v>0</v>
      </c>
      <c r="BM20" s="43">
        <v>0</v>
      </c>
      <c r="BN20" s="43">
        <v>0</v>
      </c>
      <c r="BO20" s="43">
        <v>0</v>
      </c>
      <c r="BP20" s="43">
        <v>0</v>
      </c>
      <c r="BQ20" s="43">
        <v>0</v>
      </c>
      <c r="BR20" s="43">
        <v>0</v>
      </c>
      <c r="BS20" s="43">
        <v>0</v>
      </c>
      <c r="BT20" s="43">
        <v>0.114502529511</v>
      </c>
      <c r="BU20" s="43">
        <v>0</v>
      </c>
      <c r="BV20" s="43">
        <v>8.0944350758899997E-3</v>
      </c>
      <c r="BW20" s="43">
        <v>6.0708263069099997E-3</v>
      </c>
      <c r="BX20" s="43">
        <v>0</v>
      </c>
      <c r="BY20" s="43">
        <v>0</v>
      </c>
      <c r="BZ20" s="43">
        <v>0</v>
      </c>
      <c r="CA20" s="43">
        <v>0</v>
      </c>
      <c r="CB20" s="43">
        <v>6.1551433389499997E-2</v>
      </c>
      <c r="CC20" s="43">
        <v>0</v>
      </c>
      <c r="CD20" s="43">
        <v>0</v>
      </c>
      <c r="CE20" s="43">
        <v>0</v>
      </c>
      <c r="CF20" s="43">
        <v>0</v>
      </c>
      <c r="CG20" s="43">
        <v>1.01180438449E-3</v>
      </c>
      <c r="CH20" s="43">
        <v>0</v>
      </c>
      <c r="CI20" s="43">
        <v>5.0590219224299999E-3</v>
      </c>
      <c r="CJ20" s="43">
        <v>0</v>
      </c>
      <c r="CK20" s="43">
        <v>0</v>
      </c>
      <c r="CL20" s="43">
        <v>0</v>
      </c>
      <c r="CM20" s="43">
        <v>0</v>
      </c>
      <c r="CN20" s="43">
        <v>0</v>
      </c>
      <c r="CO20" s="43">
        <v>0</v>
      </c>
      <c r="CP20" s="43">
        <v>0</v>
      </c>
      <c r="CQ20" s="43">
        <v>0</v>
      </c>
      <c r="CR20" s="43">
        <v>0</v>
      </c>
      <c r="CS20" s="43">
        <v>5.0590219224299997E-4</v>
      </c>
      <c r="CT20" s="43">
        <v>0</v>
      </c>
      <c r="CU20" s="43">
        <v>0</v>
      </c>
      <c r="CV20" s="43">
        <v>0</v>
      </c>
      <c r="CW20" s="43">
        <v>0</v>
      </c>
      <c r="CX20" s="43">
        <v>0</v>
      </c>
      <c r="CY20" s="43">
        <v>0</v>
      </c>
      <c r="CZ20" s="43">
        <v>0</v>
      </c>
      <c r="DA20" s="43">
        <v>0</v>
      </c>
      <c r="DB20" s="43">
        <v>0</v>
      </c>
      <c r="DC20" s="43">
        <v>5.2445193929200003E-2</v>
      </c>
      <c r="DD20" s="43">
        <v>0</v>
      </c>
      <c r="DE20" s="43">
        <v>3.37268128162E-4</v>
      </c>
      <c r="DF20" s="43">
        <v>0</v>
      </c>
      <c r="DG20" s="43">
        <v>8.8870151770699998E-2</v>
      </c>
      <c r="DH20" s="43">
        <v>0</v>
      </c>
      <c r="DI20" s="43">
        <v>0</v>
      </c>
      <c r="DJ20" s="43">
        <v>0</v>
      </c>
      <c r="DK20" s="43">
        <v>0</v>
      </c>
      <c r="DL20" s="43">
        <v>0</v>
      </c>
      <c r="DM20" s="43">
        <v>0</v>
      </c>
      <c r="DN20" s="43">
        <v>3.37268128162E-4</v>
      </c>
      <c r="DO20" s="43">
        <v>0</v>
      </c>
      <c r="DP20" s="43">
        <v>0</v>
      </c>
      <c r="DQ20" s="43">
        <v>8.7352445193899994E-2</v>
      </c>
      <c r="DR20" s="43">
        <v>4.2833052276600003E-2</v>
      </c>
      <c r="DS20" s="43">
        <v>0.119224283305</v>
      </c>
      <c r="DT20" s="43">
        <v>0</v>
      </c>
      <c r="DU20" s="43">
        <v>0</v>
      </c>
      <c r="DV20" s="43">
        <v>0</v>
      </c>
      <c r="DW20" s="43">
        <v>0</v>
      </c>
      <c r="DX20" s="43">
        <v>5.0590219224299997E-4</v>
      </c>
      <c r="DY20" s="43">
        <v>1.2478920742000001E-2</v>
      </c>
      <c r="DZ20" s="43">
        <v>3.37268128162E-4</v>
      </c>
      <c r="EA20" s="43">
        <v>0</v>
      </c>
      <c r="EB20" s="43">
        <v>0.17251264755500001</v>
      </c>
      <c r="EC20" s="43">
        <v>1.01180438449E-3</v>
      </c>
      <c r="ED20" s="43">
        <v>4.0640809443500001E-2</v>
      </c>
      <c r="EE20" s="43">
        <v>6.7959527824600005E-2</v>
      </c>
      <c r="EF20" s="43">
        <v>1.2647554806099999E-2</v>
      </c>
      <c r="EG20" s="43">
        <v>6.0033726812800003E-2</v>
      </c>
      <c r="EH20" s="43">
        <v>0</v>
      </c>
      <c r="EI20" s="43">
        <v>3.8448566610500001E-2</v>
      </c>
      <c r="EJ20" s="43">
        <v>0</v>
      </c>
      <c r="EK20" s="43">
        <v>0</v>
      </c>
      <c r="EL20" s="43">
        <v>0</v>
      </c>
      <c r="EM20" s="43">
        <v>0</v>
      </c>
      <c r="EN20" s="43">
        <v>0</v>
      </c>
      <c r="EO20" s="43">
        <v>0</v>
      </c>
      <c r="EP20" s="43">
        <v>2.5295109612100001E-3</v>
      </c>
      <c r="EQ20" s="43">
        <v>0</v>
      </c>
      <c r="ER20" s="43">
        <v>0</v>
      </c>
      <c r="ES20" s="43">
        <v>0</v>
      </c>
      <c r="ET20" s="43">
        <v>0</v>
      </c>
      <c r="EU20" s="43">
        <v>0</v>
      </c>
      <c r="EV20" s="43">
        <v>0</v>
      </c>
      <c r="EW20" s="43">
        <v>0</v>
      </c>
      <c r="EX20" s="43">
        <v>0</v>
      </c>
      <c r="EY20" s="43">
        <v>1.18043844857E-3</v>
      </c>
      <c r="EZ20" s="43">
        <v>0</v>
      </c>
      <c r="FA20" s="43">
        <v>0</v>
      </c>
      <c r="FB20" s="43">
        <v>0</v>
      </c>
      <c r="FC20" s="43">
        <v>0</v>
      </c>
      <c r="FD20" s="43">
        <v>0</v>
      </c>
      <c r="FE20" s="43">
        <v>0</v>
      </c>
      <c r="FF20" s="43">
        <v>0</v>
      </c>
      <c r="FG20" s="43">
        <v>0</v>
      </c>
      <c r="FH20" s="43">
        <v>0</v>
      </c>
      <c r="FI20" s="43">
        <v>0</v>
      </c>
      <c r="FJ20" s="43">
        <v>1.5177065767300001E-3</v>
      </c>
      <c r="FK20" s="43">
        <v>0</v>
      </c>
      <c r="FL20" s="43">
        <v>0</v>
      </c>
      <c r="FM20" s="43">
        <v>0</v>
      </c>
      <c r="FN20" s="43">
        <v>0</v>
      </c>
      <c r="FO20" s="43">
        <v>0</v>
      </c>
      <c r="FP20" s="43">
        <v>0</v>
      </c>
      <c r="FQ20" s="43">
        <v>0</v>
      </c>
      <c r="FR20" s="43">
        <v>0</v>
      </c>
      <c r="FS20" s="43">
        <v>0</v>
      </c>
      <c r="FT20" s="43">
        <v>0</v>
      </c>
      <c r="FU20" s="43">
        <v>0</v>
      </c>
      <c r="FV20" s="43">
        <v>0</v>
      </c>
      <c r="FW20" s="43">
        <v>0</v>
      </c>
      <c r="FX20" s="43">
        <v>0</v>
      </c>
      <c r="FY20" s="43">
        <v>0</v>
      </c>
      <c r="FZ20" s="43">
        <v>0</v>
      </c>
      <c r="GA20" s="43">
        <v>0</v>
      </c>
      <c r="GB20" s="43">
        <v>0</v>
      </c>
      <c r="GC20" s="43">
        <v>0</v>
      </c>
      <c r="GD20" s="43">
        <v>0</v>
      </c>
    </row>
    <row r="21" spans="1:186" ht="16.5" x14ac:dyDescent="0.3">
      <c r="A21" s="21" t="s">
        <v>248</v>
      </c>
      <c r="B21" s="22" t="s">
        <v>1</v>
      </c>
      <c r="C21" s="23">
        <v>15.33</v>
      </c>
      <c r="D21" s="23" t="s">
        <v>195</v>
      </c>
      <c r="E21" s="24" t="s">
        <v>184</v>
      </c>
      <c r="F21" s="25" t="s">
        <v>249</v>
      </c>
      <c r="G21" s="26" t="s">
        <v>1</v>
      </c>
      <c r="H21" s="26" t="s">
        <v>184</v>
      </c>
      <c r="I21" s="27">
        <v>15</v>
      </c>
      <c r="J21" s="27">
        <v>167</v>
      </c>
      <c r="K21" s="27">
        <v>62</v>
      </c>
      <c r="L21" s="28">
        <f t="shared" si="0"/>
        <v>22.230987127541326</v>
      </c>
      <c r="M21" s="29">
        <v>77</v>
      </c>
      <c r="N21" s="30" t="s">
        <v>186</v>
      </c>
      <c r="O21" s="30" t="s">
        <v>186</v>
      </c>
      <c r="P21" s="30" t="s">
        <v>186</v>
      </c>
      <c r="Q21" s="30" t="s">
        <v>186</v>
      </c>
      <c r="R21" s="30" t="s">
        <v>186</v>
      </c>
      <c r="S21" s="31" t="s">
        <v>186</v>
      </c>
      <c r="T21" s="30" t="s">
        <v>186</v>
      </c>
      <c r="U21" s="30" t="s">
        <v>186</v>
      </c>
      <c r="V21" s="30" t="s">
        <v>186</v>
      </c>
      <c r="W21" s="30" t="s">
        <v>186</v>
      </c>
      <c r="X21" s="25">
        <v>1543.5126598940615</v>
      </c>
      <c r="Y21" s="25">
        <v>524.33761568667194</v>
      </c>
      <c r="Z21" s="25">
        <v>300.64754968076591</v>
      </c>
      <c r="AA21" s="25">
        <v>1447.6424988869778</v>
      </c>
      <c r="AB21" s="25">
        <v>227.08314946016137</v>
      </c>
      <c r="AC21" s="25">
        <v>449.87785428079991</v>
      </c>
      <c r="AD21" s="32">
        <v>146.9</v>
      </c>
      <c r="AE21" s="32">
        <v>201.70500000000001</v>
      </c>
      <c r="AF21" s="23" t="s">
        <v>195</v>
      </c>
      <c r="AG21" s="33">
        <v>54.4</v>
      </c>
      <c r="AH21" s="33">
        <v>13.9</v>
      </c>
      <c r="AI21" s="34">
        <f t="shared" si="5"/>
        <v>370.78125</v>
      </c>
      <c r="AJ21" s="34">
        <f t="shared" si="6"/>
        <v>1451.1151079136691</v>
      </c>
      <c r="AK21" s="35">
        <v>54.4</v>
      </c>
      <c r="AL21" s="36">
        <f t="shared" si="7"/>
        <v>370.78125</v>
      </c>
      <c r="AM21" s="37">
        <v>13.9</v>
      </c>
      <c r="AN21" s="38">
        <f t="shared" si="8"/>
        <v>1451.1151079136691</v>
      </c>
      <c r="AO21" s="39">
        <v>1534576.17010954</v>
      </c>
      <c r="AP21" s="39">
        <v>240183792.431721</v>
      </c>
      <c r="AQ21" s="39">
        <v>12359491.6810461</v>
      </c>
      <c r="AR21" s="39">
        <v>36108392.290454797</v>
      </c>
      <c r="AT21" s="47">
        <v>0</v>
      </c>
      <c r="AU21" s="47">
        <v>0.68246205733599996</v>
      </c>
      <c r="AV21" s="47">
        <v>0</v>
      </c>
      <c r="AW21" s="47">
        <v>1.3490725126499999E-3</v>
      </c>
      <c r="AX21" s="47">
        <v>0</v>
      </c>
      <c r="AY21" s="47">
        <v>0.31618887015199998</v>
      </c>
      <c r="AZ21" s="47">
        <v>0</v>
      </c>
      <c r="BA21" s="47">
        <v>0</v>
      </c>
      <c r="BB21" s="47">
        <v>0</v>
      </c>
      <c r="BC21" s="47">
        <v>0</v>
      </c>
      <c r="BD21" s="47">
        <v>0</v>
      </c>
      <c r="BE21" s="47">
        <v>0</v>
      </c>
      <c r="BF21" s="47">
        <v>0</v>
      </c>
      <c r="BG21" s="48"/>
      <c r="BH21" s="43">
        <v>0</v>
      </c>
      <c r="BI21" s="43">
        <v>0</v>
      </c>
      <c r="BJ21" s="43">
        <v>0</v>
      </c>
      <c r="BK21" s="43">
        <v>0</v>
      </c>
      <c r="BL21" s="43">
        <v>0</v>
      </c>
      <c r="BM21" s="43">
        <v>0</v>
      </c>
      <c r="BN21" s="43">
        <v>0</v>
      </c>
      <c r="BO21" s="43">
        <v>0</v>
      </c>
      <c r="BP21" s="43">
        <v>0</v>
      </c>
      <c r="BQ21" s="43">
        <v>0</v>
      </c>
      <c r="BR21" s="43">
        <v>0</v>
      </c>
      <c r="BS21" s="43">
        <v>0</v>
      </c>
      <c r="BT21" s="43">
        <v>0.216694772344</v>
      </c>
      <c r="BU21" s="43">
        <v>0</v>
      </c>
      <c r="BV21" s="43">
        <v>1.85497470489E-3</v>
      </c>
      <c r="BW21" s="43">
        <v>0</v>
      </c>
      <c r="BX21" s="43">
        <v>9.4772344013500001E-2</v>
      </c>
      <c r="BY21" s="43">
        <v>0</v>
      </c>
      <c r="BZ21" s="43">
        <v>2.8667790893799998E-3</v>
      </c>
      <c r="CA21" s="43">
        <v>0</v>
      </c>
      <c r="CB21" s="43">
        <v>1.01180438449E-3</v>
      </c>
      <c r="CC21" s="43">
        <v>0</v>
      </c>
      <c r="CD21" s="43">
        <v>0</v>
      </c>
      <c r="CE21" s="43">
        <v>3.37268128162E-4</v>
      </c>
      <c r="CF21" s="43">
        <v>0</v>
      </c>
      <c r="CG21" s="43">
        <v>0</v>
      </c>
      <c r="CH21" s="43">
        <v>0</v>
      </c>
      <c r="CI21" s="43">
        <v>0</v>
      </c>
      <c r="CJ21" s="43">
        <v>0</v>
      </c>
      <c r="CK21" s="43">
        <v>0</v>
      </c>
      <c r="CL21" s="43">
        <v>0</v>
      </c>
      <c r="CM21" s="43">
        <v>0</v>
      </c>
      <c r="CN21" s="43">
        <v>0</v>
      </c>
      <c r="CO21" s="43">
        <v>0</v>
      </c>
      <c r="CP21" s="43">
        <v>0</v>
      </c>
      <c r="CQ21" s="43">
        <v>0</v>
      </c>
      <c r="CR21" s="43">
        <v>0</v>
      </c>
      <c r="CS21" s="43">
        <v>0</v>
      </c>
      <c r="CT21" s="43">
        <v>0</v>
      </c>
      <c r="CU21" s="43">
        <v>0</v>
      </c>
      <c r="CV21" s="43">
        <v>0</v>
      </c>
      <c r="CW21" s="43">
        <v>0</v>
      </c>
      <c r="CX21" s="43">
        <v>0</v>
      </c>
      <c r="CY21" s="43">
        <v>0</v>
      </c>
      <c r="CZ21" s="43">
        <v>0</v>
      </c>
      <c r="DA21" s="43">
        <v>0</v>
      </c>
      <c r="DB21" s="43">
        <v>3.37268128162E-4</v>
      </c>
      <c r="DC21" s="43">
        <v>7.58853288364E-3</v>
      </c>
      <c r="DD21" s="43">
        <v>4.1652613828E-2</v>
      </c>
      <c r="DE21" s="43">
        <v>0</v>
      </c>
      <c r="DF21" s="43">
        <v>0</v>
      </c>
      <c r="DG21" s="43">
        <v>6.0708263069100002E-2</v>
      </c>
      <c r="DH21" s="43">
        <v>0</v>
      </c>
      <c r="DI21" s="43">
        <v>0</v>
      </c>
      <c r="DJ21" s="43">
        <v>0</v>
      </c>
      <c r="DK21" s="43">
        <v>1.5177065767300001E-3</v>
      </c>
      <c r="DL21" s="43">
        <v>0</v>
      </c>
      <c r="DM21" s="43">
        <v>0</v>
      </c>
      <c r="DN21" s="43">
        <v>0</v>
      </c>
      <c r="DO21" s="43">
        <v>0</v>
      </c>
      <c r="DP21" s="43">
        <v>0</v>
      </c>
      <c r="DQ21" s="43">
        <v>0.14957841484000001</v>
      </c>
      <c r="DR21" s="43">
        <v>0</v>
      </c>
      <c r="DS21" s="43">
        <v>9.3591905564900005E-2</v>
      </c>
      <c r="DT21" s="43">
        <v>0</v>
      </c>
      <c r="DU21" s="43">
        <v>5.9021922428299997E-3</v>
      </c>
      <c r="DV21" s="43">
        <v>0</v>
      </c>
      <c r="DW21" s="43">
        <v>0</v>
      </c>
      <c r="DX21" s="43">
        <v>1.68634064081E-4</v>
      </c>
      <c r="DY21" s="43">
        <v>0</v>
      </c>
      <c r="DZ21" s="43">
        <v>1.6694772343999999E-2</v>
      </c>
      <c r="EA21" s="43">
        <v>0</v>
      </c>
      <c r="EB21" s="43">
        <v>0.12816188870199999</v>
      </c>
      <c r="EC21" s="43">
        <v>0</v>
      </c>
      <c r="ED21" s="43">
        <v>8.3979763912299998E-2</v>
      </c>
      <c r="EE21" s="43">
        <v>6.4080944350800003E-3</v>
      </c>
      <c r="EF21" s="43">
        <v>0</v>
      </c>
      <c r="EG21" s="43">
        <v>5.2445193929200003E-2</v>
      </c>
      <c r="EH21" s="43">
        <v>0</v>
      </c>
      <c r="EI21" s="43">
        <v>0</v>
      </c>
      <c r="EJ21" s="43">
        <v>5.0590219224299997E-4</v>
      </c>
      <c r="EK21" s="43">
        <v>0</v>
      </c>
      <c r="EL21" s="43">
        <v>0</v>
      </c>
      <c r="EM21" s="43">
        <v>0</v>
      </c>
      <c r="EN21" s="43">
        <v>0</v>
      </c>
      <c r="EO21" s="43">
        <v>0</v>
      </c>
      <c r="EP21" s="43">
        <v>0</v>
      </c>
      <c r="EQ21" s="43">
        <v>0</v>
      </c>
      <c r="ER21" s="43">
        <v>0</v>
      </c>
      <c r="ES21" s="43">
        <v>0</v>
      </c>
      <c r="ET21" s="43">
        <v>0</v>
      </c>
      <c r="EU21" s="43">
        <v>0</v>
      </c>
      <c r="EV21" s="43">
        <v>0</v>
      </c>
      <c r="EW21" s="43">
        <v>0</v>
      </c>
      <c r="EX21" s="43">
        <v>0</v>
      </c>
      <c r="EY21" s="43">
        <v>3.32209106239E-2</v>
      </c>
      <c r="EZ21" s="43">
        <v>0</v>
      </c>
      <c r="FA21" s="43">
        <v>0</v>
      </c>
      <c r="FB21" s="43">
        <v>0</v>
      </c>
      <c r="FC21" s="43">
        <v>0</v>
      </c>
      <c r="FD21" s="43">
        <v>0</v>
      </c>
      <c r="FE21" s="43">
        <v>0</v>
      </c>
      <c r="FF21" s="43">
        <v>0</v>
      </c>
      <c r="FG21" s="43">
        <v>0</v>
      </c>
      <c r="FH21" s="43">
        <v>0</v>
      </c>
      <c r="FI21" s="43">
        <v>0</v>
      </c>
      <c r="FJ21" s="43">
        <v>0</v>
      </c>
      <c r="FK21" s="43">
        <v>0</v>
      </c>
      <c r="FL21" s="43">
        <v>0</v>
      </c>
      <c r="FM21" s="43">
        <v>0</v>
      </c>
      <c r="FN21" s="43">
        <v>0</v>
      </c>
      <c r="FO21" s="43">
        <v>0</v>
      </c>
      <c r="FP21" s="43">
        <v>0</v>
      </c>
      <c r="FQ21" s="43">
        <v>0</v>
      </c>
      <c r="FR21" s="43">
        <v>0</v>
      </c>
      <c r="FS21" s="43">
        <v>0</v>
      </c>
      <c r="FT21" s="43">
        <v>0</v>
      </c>
      <c r="FU21" s="43">
        <v>0</v>
      </c>
      <c r="FV21" s="43">
        <v>0</v>
      </c>
      <c r="FW21" s="43">
        <v>0</v>
      </c>
      <c r="FX21" s="43">
        <v>0</v>
      </c>
      <c r="FY21" s="43">
        <v>0</v>
      </c>
      <c r="FZ21" s="43">
        <v>0</v>
      </c>
      <c r="GA21" s="43">
        <v>0</v>
      </c>
      <c r="GB21" s="43">
        <v>0</v>
      </c>
      <c r="GC21" s="43">
        <v>0</v>
      </c>
      <c r="GD21" s="43">
        <v>0</v>
      </c>
    </row>
    <row r="22" spans="1:186" ht="16.5" x14ac:dyDescent="0.3">
      <c r="A22" s="21" t="s">
        <v>250</v>
      </c>
      <c r="B22" s="22" t="s">
        <v>1</v>
      </c>
      <c r="C22" s="23">
        <v>11.58</v>
      </c>
      <c r="D22" s="23" t="s">
        <v>195</v>
      </c>
      <c r="E22" s="24" t="s">
        <v>184</v>
      </c>
      <c r="F22" s="25" t="s">
        <v>251</v>
      </c>
      <c r="G22" s="26" t="s">
        <v>1</v>
      </c>
      <c r="H22" s="26" t="s">
        <v>184</v>
      </c>
      <c r="I22" s="27">
        <v>11</v>
      </c>
      <c r="J22" s="27">
        <v>152</v>
      </c>
      <c r="K22" s="27">
        <v>40</v>
      </c>
      <c r="L22" s="28">
        <f t="shared" si="0"/>
        <v>17.313019390581719</v>
      </c>
      <c r="M22" s="29">
        <v>52</v>
      </c>
      <c r="N22" s="30" t="s">
        <v>186</v>
      </c>
      <c r="O22" s="30" t="s">
        <v>186</v>
      </c>
      <c r="P22" s="30" t="s">
        <v>186</v>
      </c>
      <c r="Q22" s="30" t="s">
        <v>186</v>
      </c>
      <c r="R22" s="30" t="s">
        <v>186</v>
      </c>
      <c r="S22" s="31" t="s">
        <v>186</v>
      </c>
      <c r="T22" s="30" t="s">
        <v>186</v>
      </c>
      <c r="U22" s="30" t="s">
        <v>186</v>
      </c>
      <c r="V22" s="30" t="s">
        <v>186</v>
      </c>
      <c r="W22" s="30" t="s">
        <v>186</v>
      </c>
      <c r="X22" s="25">
        <v>9948.3192966872302</v>
      </c>
      <c r="Y22" s="25">
        <v>2428.7232058222266</v>
      </c>
      <c r="Z22" s="25">
        <v>661.11730797855967</v>
      </c>
      <c r="AA22" s="25">
        <v>5327.827448346341</v>
      </c>
      <c r="AB22" s="25">
        <v>1037.1127259409791</v>
      </c>
      <c r="AC22" s="25">
        <v>1031.6398868264969</v>
      </c>
      <c r="AD22" s="32">
        <v>199.6</v>
      </c>
      <c r="AE22" s="32">
        <v>45.04</v>
      </c>
      <c r="AF22" s="23" t="s">
        <v>195</v>
      </c>
      <c r="AG22" s="33">
        <v>59</v>
      </c>
      <c r="AH22" s="33">
        <v>14.7</v>
      </c>
      <c r="AI22" s="34">
        <f t="shared" si="5"/>
        <v>76.338983050847446</v>
      </c>
      <c r="AJ22" s="34">
        <f t="shared" si="6"/>
        <v>306.39455782312928</v>
      </c>
      <c r="AK22" s="35">
        <v>59</v>
      </c>
      <c r="AL22" s="36">
        <f t="shared" si="7"/>
        <v>76.338983050847446</v>
      </c>
      <c r="AM22" s="37">
        <v>14.7</v>
      </c>
      <c r="AN22" s="38">
        <f t="shared" si="8"/>
        <v>306.39455782312928</v>
      </c>
      <c r="AO22" s="39">
        <v>769275.23841435695</v>
      </c>
      <c r="AP22" s="39">
        <v>197892654.578628</v>
      </c>
      <c r="AQ22" s="39">
        <v>4100638.94262351</v>
      </c>
      <c r="AR22" s="39">
        <v>80486832.845428407</v>
      </c>
      <c r="AT22" s="47">
        <v>4.3844856660999999E-2</v>
      </c>
      <c r="AU22" s="47">
        <v>0.69696458684700002</v>
      </c>
      <c r="AV22" s="47">
        <v>9.1062394603699994E-3</v>
      </c>
      <c r="AW22" s="47">
        <v>0</v>
      </c>
      <c r="AX22" s="47">
        <v>0</v>
      </c>
      <c r="AY22" s="47">
        <v>0.25008431703200001</v>
      </c>
      <c r="AZ22" s="47">
        <v>0</v>
      </c>
      <c r="BA22" s="47">
        <v>0</v>
      </c>
      <c r="BB22" s="47">
        <v>0</v>
      </c>
      <c r="BC22" s="47">
        <v>0</v>
      </c>
      <c r="BD22" s="47">
        <v>0</v>
      </c>
      <c r="BE22" s="47">
        <v>0</v>
      </c>
      <c r="BF22" s="47">
        <v>0</v>
      </c>
      <c r="BG22" s="48"/>
      <c r="BH22" s="43">
        <v>0</v>
      </c>
      <c r="BI22" s="43">
        <v>0</v>
      </c>
      <c r="BJ22" s="43">
        <v>0</v>
      </c>
      <c r="BK22" s="43">
        <v>0</v>
      </c>
      <c r="BL22" s="43">
        <v>0</v>
      </c>
      <c r="BM22" s="43">
        <v>5.3962900505899998E-3</v>
      </c>
      <c r="BN22" s="43">
        <v>0</v>
      </c>
      <c r="BO22" s="43">
        <v>0</v>
      </c>
      <c r="BP22" s="43">
        <v>0</v>
      </c>
      <c r="BQ22" s="43">
        <v>0</v>
      </c>
      <c r="BR22" s="43">
        <v>0</v>
      </c>
      <c r="BS22" s="43">
        <v>0</v>
      </c>
      <c r="BT22" s="43">
        <v>0.17605396290100001</v>
      </c>
      <c r="BU22" s="43">
        <v>0</v>
      </c>
      <c r="BV22" s="43">
        <v>0</v>
      </c>
      <c r="BW22" s="43">
        <v>0</v>
      </c>
      <c r="BX22" s="43">
        <v>6.8634064080900004E-2</v>
      </c>
      <c r="BY22" s="43">
        <v>0</v>
      </c>
      <c r="BZ22" s="43">
        <v>0</v>
      </c>
      <c r="CA22" s="43">
        <v>0</v>
      </c>
      <c r="CB22" s="43">
        <v>0</v>
      </c>
      <c r="CC22" s="43">
        <v>0</v>
      </c>
      <c r="CD22" s="43">
        <v>0</v>
      </c>
      <c r="CE22" s="43">
        <v>0</v>
      </c>
      <c r="CF22" s="43">
        <v>0</v>
      </c>
      <c r="CG22" s="43">
        <v>0</v>
      </c>
      <c r="CH22" s="43">
        <v>0</v>
      </c>
      <c r="CI22" s="43">
        <v>0</v>
      </c>
      <c r="CJ22" s="43">
        <v>0</v>
      </c>
      <c r="CK22" s="43">
        <v>0</v>
      </c>
      <c r="CL22" s="43">
        <v>0</v>
      </c>
      <c r="CM22" s="43">
        <v>0</v>
      </c>
      <c r="CN22" s="43">
        <v>0</v>
      </c>
      <c r="CO22" s="43">
        <v>0</v>
      </c>
      <c r="CP22" s="43">
        <v>0</v>
      </c>
      <c r="CQ22" s="43">
        <v>0</v>
      </c>
      <c r="CR22" s="43">
        <v>0</v>
      </c>
      <c r="CS22" s="43">
        <v>0</v>
      </c>
      <c r="CT22" s="43">
        <v>0</v>
      </c>
      <c r="CU22" s="43">
        <v>0</v>
      </c>
      <c r="CV22" s="43">
        <v>0</v>
      </c>
      <c r="CW22" s="43">
        <v>0</v>
      </c>
      <c r="CX22" s="43">
        <v>0</v>
      </c>
      <c r="CY22" s="43">
        <v>0</v>
      </c>
      <c r="CZ22" s="43">
        <v>0</v>
      </c>
      <c r="DA22" s="43">
        <v>0</v>
      </c>
      <c r="DB22" s="43">
        <v>0</v>
      </c>
      <c r="DC22" s="43">
        <v>0</v>
      </c>
      <c r="DD22" s="43">
        <v>2.56323777403E-2</v>
      </c>
      <c r="DE22" s="43">
        <v>0</v>
      </c>
      <c r="DF22" s="43">
        <v>0</v>
      </c>
      <c r="DG22" s="43">
        <v>2.1753794266399999E-2</v>
      </c>
      <c r="DH22" s="43">
        <v>0</v>
      </c>
      <c r="DI22" s="43">
        <v>0</v>
      </c>
      <c r="DJ22" s="43">
        <v>4.1652613828E-2</v>
      </c>
      <c r="DK22" s="43">
        <v>0</v>
      </c>
      <c r="DL22" s="43">
        <v>0</v>
      </c>
      <c r="DM22" s="43">
        <v>0</v>
      </c>
      <c r="DN22" s="43">
        <v>0</v>
      </c>
      <c r="DO22" s="43">
        <v>0</v>
      </c>
      <c r="DP22" s="43">
        <v>0</v>
      </c>
      <c r="DQ22" s="43">
        <v>0.112984822934</v>
      </c>
      <c r="DR22" s="43">
        <v>0</v>
      </c>
      <c r="DS22" s="43">
        <v>4.2833052276600003E-2</v>
      </c>
      <c r="DT22" s="43">
        <v>2.3608768971300001E-3</v>
      </c>
      <c r="DU22" s="43">
        <v>2.6306913996600002E-2</v>
      </c>
      <c r="DV22" s="43">
        <v>0</v>
      </c>
      <c r="DW22" s="43">
        <v>0</v>
      </c>
      <c r="DX22" s="43">
        <v>0</v>
      </c>
      <c r="DY22" s="43">
        <v>0</v>
      </c>
      <c r="DZ22" s="43">
        <v>8.2630691399700005E-3</v>
      </c>
      <c r="EA22" s="43">
        <v>0</v>
      </c>
      <c r="EB22" s="43">
        <v>0.217200674536</v>
      </c>
      <c r="EC22" s="43">
        <v>0</v>
      </c>
      <c r="ED22" s="43">
        <v>0.13305227655999999</v>
      </c>
      <c r="EE22" s="43">
        <v>2.3777403035400001E-2</v>
      </c>
      <c r="EF22" s="43">
        <v>0</v>
      </c>
      <c r="EG22" s="43">
        <v>1.3490725126499999E-3</v>
      </c>
      <c r="EH22" s="43">
        <v>0</v>
      </c>
      <c r="EI22" s="43">
        <v>0</v>
      </c>
      <c r="EJ22" s="43">
        <v>0</v>
      </c>
      <c r="EK22" s="43">
        <v>0</v>
      </c>
      <c r="EL22" s="43">
        <v>0</v>
      </c>
      <c r="EM22" s="43">
        <v>0</v>
      </c>
      <c r="EN22" s="43">
        <v>0</v>
      </c>
      <c r="EO22" s="43">
        <v>0</v>
      </c>
      <c r="EP22" s="43">
        <v>0</v>
      </c>
      <c r="EQ22" s="43">
        <v>0</v>
      </c>
      <c r="ER22" s="43">
        <v>0</v>
      </c>
      <c r="ES22" s="43">
        <v>0</v>
      </c>
      <c r="ET22" s="43">
        <v>0</v>
      </c>
      <c r="EU22" s="43">
        <v>0</v>
      </c>
      <c r="EV22" s="43">
        <v>0</v>
      </c>
      <c r="EW22" s="43">
        <v>0</v>
      </c>
      <c r="EX22" s="43">
        <v>0</v>
      </c>
      <c r="EY22" s="43">
        <v>3.9291736930899997E-2</v>
      </c>
      <c r="EZ22" s="43">
        <v>0</v>
      </c>
      <c r="FA22" s="43">
        <v>0</v>
      </c>
      <c r="FB22" s="43">
        <v>0</v>
      </c>
      <c r="FC22" s="43">
        <v>5.0590219224299997E-4</v>
      </c>
      <c r="FD22" s="43">
        <v>0</v>
      </c>
      <c r="FE22" s="43">
        <v>0</v>
      </c>
      <c r="FF22" s="43">
        <v>0</v>
      </c>
      <c r="FG22" s="43">
        <v>0</v>
      </c>
      <c r="FH22" s="43">
        <v>0</v>
      </c>
      <c r="FI22" s="43">
        <v>0</v>
      </c>
      <c r="FJ22" s="43">
        <v>0</v>
      </c>
      <c r="FK22" s="43">
        <v>0</v>
      </c>
      <c r="FL22" s="43">
        <v>0</v>
      </c>
      <c r="FM22" s="43">
        <v>0</v>
      </c>
      <c r="FN22" s="43">
        <v>0</v>
      </c>
      <c r="FO22" s="43">
        <v>8.7689713322099995E-3</v>
      </c>
      <c r="FP22" s="43">
        <v>0</v>
      </c>
      <c r="FQ22" s="43">
        <v>0</v>
      </c>
      <c r="FR22" s="43">
        <v>0</v>
      </c>
      <c r="FS22" s="43">
        <v>0</v>
      </c>
      <c r="FT22" s="43">
        <v>3.37268128162E-4</v>
      </c>
      <c r="FU22" s="43">
        <v>0</v>
      </c>
      <c r="FV22" s="43">
        <v>0</v>
      </c>
      <c r="FW22" s="43">
        <v>0</v>
      </c>
      <c r="FX22" s="43">
        <v>0</v>
      </c>
      <c r="FY22" s="43">
        <v>0</v>
      </c>
      <c r="FZ22" s="43">
        <v>0</v>
      </c>
      <c r="GA22" s="43">
        <v>0</v>
      </c>
      <c r="GB22" s="43">
        <v>0</v>
      </c>
      <c r="GC22" s="43">
        <v>4.3844856660999999E-2</v>
      </c>
      <c r="GD22" s="43">
        <v>0</v>
      </c>
    </row>
    <row r="23" spans="1:186" ht="16.5" x14ac:dyDescent="0.3">
      <c r="A23" s="21" t="s">
        <v>252</v>
      </c>
      <c r="B23" s="22" t="s">
        <v>1</v>
      </c>
      <c r="C23" s="23">
        <v>12.92</v>
      </c>
      <c r="D23" s="23" t="s">
        <v>195</v>
      </c>
      <c r="E23" s="24" t="s">
        <v>184</v>
      </c>
      <c r="F23" s="25" t="s">
        <v>253</v>
      </c>
      <c r="G23" s="26" t="s">
        <v>1</v>
      </c>
      <c r="H23" s="26" t="s">
        <v>184</v>
      </c>
      <c r="I23" s="27">
        <v>12</v>
      </c>
      <c r="J23" s="27">
        <v>152</v>
      </c>
      <c r="K23" s="27">
        <v>36</v>
      </c>
      <c r="L23" s="28">
        <f t="shared" si="0"/>
        <v>15.581717451523545</v>
      </c>
      <c r="M23" s="29">
        <v>11</v>
      </c>
      <c r="N23" s="30" t="s">
        <v>186</v>
      </c>
      <c r="O23" s="30" t="s">
        <v>186</v>
      </c>
      <c r="P23" s="30" t="s">
        <v>186</v>
      </c>
      <c r="Q23" s="30" t="s">
        <v>186</v>
      </c>
      <c r="R23" s="30" t="s">
        <v>186</v>
      </c>
      <c r="S23" s="31" t="s">
        <v>186</v>
      </c>
      <c r="T23" s="30" t="s">
        <v>186</v>
      </c>
      <c r="U23" s="30" t="s">
        <v>186</v>
      </c>
      <c r="V23" s="30" t="s">
        <v>207</v>
      </c>
      <c r="W23" s="30" t="s">
        <v>186</v>
      </c>
      <c r="X23" s="25">
        <v>2541.7138283809959</v>
      </c>
      <c r="Y23" s="25">
        <v>807.10067461488836</v>
      </c>
      <c r="Z23" s="25">
        <v>556.14871184260687</v>
      </c>
      <c r="AA23" s="25">
        <v>2270.2650168711202</v>
      </c>
      <c r="AB23" s="25">
        <v>732.3579174234635</v>
      </c>
      <c r="AC23" s="25">
        <v>517.99743497513623</v>
      </c>
      <c r="AD23" s="32">
        <v>108.75</v>
      </c>
      <c r="AE23" s="32">
        <v>63.74</v>
      </c>
      <c r="AF23" s="23" t="s">
        <v>195</v>
      </c>
      <c r="AG23" s="33">
        <v>54.4</v>
      </c>
      <c r="AH23" s="33">
        <v>13.9</v>
      </c>
      <c r="AI23" s="34">
        <f t="shared" si="5"/>
        <v>117.16911764705884</v>
      </c>
      <c r="AJ23" s="34">
        <f t="shared" si="6"/>
        <v>458.56115107913666</v>
      </c>
      <c r="AK23" s="35">
        <v>54.4</v>
      </c>
      <c r="AL23" s="36">
        <f t="shared" si="7"/>
        <v>117.16911764705884</v>
      </c>
      <c r="AM23" s="37">
        <v>13.9</v>
      </c>
      <c r="AN23" s="38">
        <f t="shared" si="8"/>
        <v>458.56115107913666</v>
      </c>
      <c r="AO23" s="39">
        <v>11265087.1517685</v>
      </c>
      <c r="AP23" s="39">
        <v>9393134.9892679807</v>
      </c>
      <c r="AQ23" s="39">
        <v>22061468.350169301</v>
      </c>
      <c r="AR23" s="39">
        <v>2921228.7454098202</v>
      </c>
      <c r="AT23" s="47">
        <v>0</v>
      </c>
      <c r="AU23" s="47">
        <v>0.67015177065800002</v>
      </c>
      <c r="AV23" s="47">
        <v>0</v>
      </c>
      <c r="AW23" s="47">
        <v>1.01180438449E-3</v>
      </c>
      <c r="AX23" s="47">
        <v>0</v>
      </c>
      <c r="AY23" s="47">
        <v>0.32883642495799997</v>
      </c>
      <c r="AZ23" s="47">
        <v>0</v>
      </c>
      <c r="BA23" s="47">
        <v>0</v>
      </c>
      <c r="BB23" s="47">
        <v>0</v>
      </c>
      <c r="BC23" s="47">
        <v>0</v>
      </c>
      <c r="BD23" s="47">
        <v>0</v>
      </c>
      <c r="BE23" s="47">
        <v>0</v>
      </c>
      <c r="BF23" s="47">
        <v>0</v>
      </c>
      <c r="BG23" s="48"/>
      <c r="BH23" s="43">
        <v>0</v>
      </c>
      <c r="BI23" s="43">
        <v>0</v>
      </c>
      <c r="BJ23" s="43">
        <v>0</v>
      </c>
      <c r="BK23" s="43">
        <v>0</v>
      </c>
      <c r="BL23" s="43">
        <v>0</v>
      </c>
      <c r="BM23" s="43">
        <v>1.85497470489E-3</v>
      </c>
      <c r="BN23" s="43">
        <v>0</v>
      </c>
      <c r="BO23" s="43">
        <v>0</v>
      </c>
      <c r="BP23" s="43">
        <v>0</v>
      </c>
      <c r="BQ23" s="43">
        <v>0</v>
      </c>
      <c r="BR23" s="43">
        <v>0</v>
      </c>
      <c r="BS23" s="43">
        <v>0</v>
      </c>
      <c r="BT23" s="43">
        <v>0.234401349073</v>
      </c>
      <c r="BU23" s="43">
        <v>0</v>
      </c>
      <c r="BV23" s="43">
        <v>0</v>
      </c>
      <c r="BW23" s="43">
        <v>0</v>
      </c>
      <c r="BX23" s="43">
        <v>9.2580101180399998E-2</v>
      </c>
      <c r="BY23" s="43">
        <v>0</v>
      </c>
      <c r="BZ23" s="43">
        <v>0</v>
      </c>
      <c r="CA23" s="43">
        <v>0</v>
      </c>
      <c r="CB23" s="43">
        <v>0</v>
      </c>
      <c r="CC23" s="43">
        <v>0</v>
      </c>
      <c r="CD23" s="43">
        <v>0</v>
      </c>
      <c r="CE23" s="43">
        <v>1.01180438449E-3</v>
      </c>
      <c r="CF23" s="43">
        <v>0</v>
      </c>
      <c r="CG23" s="43">
        <v>0</v>
      </c>
      <c r="CH23" s="43">
        <v>0</v>
      </c>
      <c r="CI23" s="43">
        <v>0</v>
      </c>
      <c r="CJ23" s="43">
        <v>0</v>
      </c>
      <c r="CK23" s="43">
        <v>0</v>
      </c>
      <c r="CL23" s="43">
        <v>0</v>
      </c>
      <c r="CM23" s="43">
        <v>0</v>
      </c>
      <c r="CN23" s="43">
        <v>0</v>
      </c>
      <c r="CO23" s="43">
        <v>0</v>
      </c>
      <c r="CP23" s="43">
        <v>0</v>
      </c>
      <c r="CQ23" s="43">
        <v>0</v>
      </c>
      <c r="CR23" s="43">
        <v>0</v>
      </c>
      <c r="CS23" s="43">
        <v>0</v>
      </c>
      <c r="CT23" s="43">
        <v>0</v>
      </c>
      <c r="CU23" s="43">
        <v>0</v>
      </c>
      <c r="CV23" s="43">
        <v>0</v>
      </c>
      <c r="CW23" s="43">
        <v>0</v>
      </c>
      <c r="CX23" s="43">
        <v>0</v>
      </c>
      <c r="CY23" s="43">
        <v>0</v>
      </c>
      <c r="CZ23" s="43">
        <v>1.85497470489E-3</v>
      </c>
      <c r="DA23" s="43">
        <v>0</v>
      </c>
      <c r="DB23" s="43">
        <v>0</v>
      </c>
      <c r="DC23" s="43">
        <v>0</v>
      </c>
      <c r="DD23" s="43">
        <v>0</v>
      </c>
      <c r="DE23" s="43">
        <v>0</v>
      </c>
      <c r="DF23" s="43">
        <v>0</v>
      </c>
      <c r="DG23" s="43">
        <v>0.13844856660999999</v>
      </c>
      <c r="DH23" s="43">
        <v>0</v>
      </c>
      <c r="DI23" s="43">
        <v>0</v>
      </c>
      <c r="DJ23" s="43">
        <v>0</v>
      </c>
      <c r="DK23" s="43">
        <v>2.6644182124799999E-2</v>
      </c>
      <c r="DL23" s="43">
        <v>0</v>
      </c>
      <c r="DM23" s="43">
        <v>3.37268128162E-4</v>
      </c>
      <c r="DN23" s="43">
        <v>0</v>
      </c>
      <c r="DO23" s="43">
        <v>0</v>
      </c>
      <c r="DP23" s="43">
        <v>3.37268128162E-4</v>
      </c>
      <c r="DQ23" s="43">
        <v>0.110286677909</v>
      </c>
      <c r="DR23" s="43">
        <v>0</v>
      </c>
      <c r="DS23" s="43">
        <v>7.48735244519E-2</v>
      </c>
      <c r="DT23" s="43">
        <v>2.1922428330500001E-3</v>
      </c>
      <c r="DU23" s="43">
        <v>0</v>
      </c>
      <c r="DV23" s="43">
        <v>0</v>
      </c>
      <c r="DW23" s="43">
        <v>0</v>
      </c>
      <c r="DX23" s="43">
        <v>0</v>
      </c>
      <c r="DY23" s="43">
        <v>0</v>
      </c>
      <c r="DZ23" s="43">
        <v>3.20404721754E-2</v>
      </c>
      <c r="EA23" s="43">
        <v>0</v>
      </c>
      <c r="EB23" s="43">
        <v>0.14957841484000001</v>
      </c>
      <c r="EC23" s="43">
        <v>0</v>
      </c>
      <c r="ED23" s="43">
        <v>0.101180438449</v>
      </c>
      <c r="EE23" s="43">
        <v>0</v>
      </c>
      <c r="EF23" s="43">
        <v>3.0354131534600002E-3</v>
      </c>
      <c r="EG23" s="43">
        <v>1.1298482293400001E-2</v>
      </c>
      <c r="EH23" s="43">
        <v>0</v>
      </c>
      <c r="EI23" s="43">
        <v>0</v>
      </c>
      <c r="EJ23" s="43">
        <v>0</v>
      </c>
      <c r="EK23" s="43">
        <v>0</v>
      </c>
      <c r="EL23" s="43">
        <v>0</v>
      </c>
      <c r="EM23" s="43">
        <v>0</v>
      </c>
      <c r="EN23" s="43">
        <v>0</v>
      </c>
      <c r="EO23" s="43">
        <v>0</v>
      </c>
      <c r="EP23" s="43">
        <v>5.0590219224299997E-4</v>
      </c>
      <c r="EQ23" s="43">
        <v>0</v>
      </c>
      <c r="ER23" s="43">
        <v>0</v>
      </c>
      <c r="ES23" s="43">
        <v>0</v>
      </c>
      <c r="ET23" s="43">
        <v>0</v>
      </c>
      <c r="EU23" s="43">
        <v>0</v>
      </c>
      <c r="EV23" s="43">
        <v>0</v>
      </c>
      <c r="EW23" s="43">
        <v>0</v>
      </c>
      <c r="EX23" s="43">
        <v>0</v>
      </c>
      <c r="EY23" s="43">
        <v>1.53456998314E-2</v>
      </c>
      <c r="EZ23" s="43">
        <v>0</v>
      </c>
      <c r="FA23" s="43">
        <v>0</v>
      </c>
      <c r="FB23" s="43">
        <v>0</v>
      </c>
      <c r="FC23" s="43">
        <v>0</v>
      </c>
      <c r="FD23" s="43">
        <v>0</v>
      </c>
      <c r="FE23" s="43">
        <v>2.1922428330500001E-3</v>
      </c>
      <c r="FF23" s="43">
        <v>0</v>
      </c>
      <c r="FG23" s="43">
        <v>0</v>
      </c>
      <c r="FH23" s="43">
        <v>0</v>
      </c>
      <c r="FI23" s="43">
        <v>0</v>
      </c>
      <c r="FJ23" s="43">
        <v>0</v>
      </c>
      <c r="FK23" s="43">
        <v>0</v>
      </c>
      <c r="FL23" s="43">
        <v>0</v>
      </c>
      <c r="FM23" s="43">
        <v>0</v>
      </c>
      <c r="FN23" s="43">
        <v>0</v>
      </c>
      <c r="FO23" s="43">
        <v>0</v>
      </c>
      <c r="FP23" s="43">
        <v>0</v>
      </c>
      <c r="FQ23" s="43">
        <v>0</v>
      </c>
      <c r="FR23" s="43">
        <v>0</v>
      </c>
      <c r="FS23" s="43">
        <v>0</v>
      </c>
      <c r="FT23" s="43">
        <v>0</v>
      </c>
      <c r="FU23" s="43">
        <v>0</v>
      </c>
      <c r="FV23" s="43">
        <v>0</v>
      </c>
      <c r="FW23" s="43">
        <v>0</v>
      </c>
      <c r="FX23" s="43">
        <v>0</v>
      </c>
      <c r="FY23" s="43">
        <v>0</v>
      </c>
      <c r="FZ23" s="43">
        <v>0</v>
      </c>
      <c r="GA23" s="43">
        <v>0</v>
      </c>
      <c r="GB23" s="43">
        <v>0</v>
      </c>
      <c r="GC23" s="43">
        <v>0</v>
      </c>
      <c r="GD23" s="43">
        <v>0</v>
      </c>
    </row>
    <row r="24" spans="1:186" ht="16.5" x14ac:dyDescent="0.3">
      <c r="A24" s="21" t="s">
        <v>254</v>
      </c>
      <c r="B24" s="22" t="s">
        <v>1</v>
      </c>
      <c r="C24" s="23">
        <v>6</v>
      </c>
      <c r="D24" s="23" t="s">
        <v>183</v>
      </c>
      <c r="E24" s="24" t="s">
        <v>184</v>
      </c>
      <c r="F24" s="25" t="s">
        <v>255</v>
      </c>
      <c r="G24" s="26" t="s">
        <v>1</v>
      </c>
      <c r="H24" s="26" t="s">
        <v>184</v>
      </c>
      <c r="I24" s="27">
        <v>6</v>
      </c>
      <c r="J24" s="27">
        <v>116</v>
      </c>
      <c r="K24" s="27">
        <v>18</v>
      </c>
      <c r="L24" s="28">
        <f t="shared" si="0"/>
        <v>13.376932223543403</v>
      </c>
      <c r="M24" s="29">
        <v>2</v>
      </c>
      <c r="N24" s="30" t="s">
        <v>186</v>
      </c>
      <c r="O24" s="30" t="s">
        <v>186</v>
      </c>
      <c r="P24" s="30" t="s">
        <v>186</v>
      </c>
      <c r="Q24" s="30" t="s">
        <v>186</v>
      </c>
      <c r="R24" s="30" t="s">
        <v>186</v>
      </c>
      <c r="S24" s="31" t="s">
        <v>186</v>
      </c>
      <c r="T24" s="31" t="s">
        <v>256</v>
      </c>
      <c r="U24" s="30" t="s">
        <v>186</v>
      </c>
      <c r="V24" s="30" t="s">
        <v>257</v>
      </c>
      <c r="W24" s="30" t="s">
        <v>186</v>
      </c>
      <c r="X24" s="25">
        <v>2190.3513751074929</v>
      </c>
      <c r="Y24" s="25">
        <v>991.98002925869889</v>
      </c>
      <c r="Z24" s="25">
        <v>615.90916500583512</v>
      </c>
      <c r="AA24" s="25">
        <v>4394.1418914618152</v>
      </c>
      <c r="AB24" s="25">
        <v>613.17250243260276</v>
      </c>
      <c r="AC24" s="25">
        <v>121.28085183767618</v>
      </c>
      <c r="AD24" s="49" t="s">
        <v>221</v>
      </c>
      <c r="AE24" s="49"/>
      <c r="AF24" s="23" t="s">
        <v>183</v>
      </c>
      <c r="AG24" s="33"/>
      <c r="AH24" s="33"/>
      <c r="AI24" s="34"/>
      <c r="AJ24" s="34"/>
      <c r="AK24" s="49" t="s">
        <v>221</v>
      </c>
      <c r="AL24" s="49" t="s">
        <v>221</v>
      </c>
      <c r="AM24" s="49" t="s">
        <v>221</v>
      </c>
      <c r="AN24" s="49" t="s">
        <v>221</v>
      </c>
      <c r="AO24" s="39">
        <v>1346114.58530149</v>
      </c>
      <c r="AP24" s="39">
        <v>150666340.32953799</v>
      </c>
      <c r="AQ24" s="39">
        <v>3140822.2092408598</v>
      </c>
      <c r="AR24" s="39">
        <v>91358941.330758497</v>
      </c>
      <c r="AT24" s="47">
        <v>0</v>
      </c>
      <c r="AU24" s="47">
        <v>0.89629005059</v>
      </c>
      <c r="AV24" s="47">
        <v>3.1534569983100003E-2</v>
      </c>
      <c r="AW24" s="47">
        <v>6.7453625632400002E-3</v>
      </c>
      <c r="AX24" s="47">
        <v>0</v>
      </c>
      <c r="AY24" s="47">
        <v>6.5430016863399998E-2</v>
      </c>
      <c r="AZ24" s="47">
        <v>0</v>
      </c>
      <c r="BA24" s="47">
        <v>0</v>
      </c>
      <c r="BB24" s="47">
        <v>0</v>
      </c>
      <c r="BC24" s="47">
        <v>0</v>
      </c>
      <c r="BD24" s="47">
        <v>0</v>
      </c>
      <c r="BE24" s="47">
        <v>0</v>
      </c>
      <c r="BF24" s="47">
        <v>0</v>
      </c>
      <c r="BG24" s="48"/>
      <c r="BH24" s="43">
        <v>0</v>
      </c>
      <c r="BI24" s="43">
        <v>0</v>
      </c>
      <c r="BJ24" s="43">
        <v>0</v>
      </c>
      <c r="BK24" s="43">
        <v>0</v>
      </c>
      <c r="BL24" s="43">
        <v>0</v>
      </c>
      <c r="BM24" s="43">
        <v>0</v>
      </c>
      <c r="BN24" s="43">
        <v>0</v>
      </c>
      <c r="BO24" s="43">
        <v>0</v>
      </c>
      <c r="BP24" s="43">
        <v>0</v>
      </c>
      <c r="BQ24" s="43">
        <v>0</v>
      </c>
      <c r="BR24" s="43">
        <v>0</v>
      </c>
      <c r="BS24" s="43">
        <v>0</v>
      </c>
      <c r="BT24" s="43">
        <v>5.1096121416500002E-2</v>
      </c>
      <c r="BU24" s="43">
        <v>0</v>
      </c>
      <c r="BV24" s="43">
        <v>0</v>
      </c>
      <c r="BW24" s="43">
        <v>0</v>
      </c>
      <c r="BX24" s="43">
        <v>1.18043844857E-3</v>
      </c>
      <c r="BY24" s="43">
        <v>1.3153456998300001E-2</v>
      </c>
      <c r="BZ24" s="43">
        <v>0</v>
      </c>
      <c r="CA24" s="43">
        <v>0</v>
      </c>
      <c r="CB24" s="43">
        <v>2.8667790893799998E-3</v>
      </c>
      <c r="CC24" s="43">
        <v>3.37268128162E-4</v>
      </c>
      <c r="CD24" s="43">
        <v>0</v>
      </c>
      <c r="CE24" s="43">
        <v>0</v>
      </c>
      <c r="CF24" s="43">
        <v>0</v>
      </c>
      <c r="CG24" s="43">
        <v>1.5177065767300001E-3</v>
      </c>
      <c r="CH24" s="43">
        <v>0</v>
      </c>
      <c r="CI24" s="43">
        <v>2.0236087689700002E-3</v>
      </c>
      <c r="CJ24" s="43">
        <v>0</v>
      </c>
      <c r="CK24" s="43">
        <v>0</v>
      </c>
      <c r="CL24" s="43">
        <v>0</v>
      </c>
      <c r="CM24" s="43">
        <v>0</v>
      </c>
      <c r="CN24" s="43">
        <v>0</v>
      </c>
      <c r="CO24" s="43">
        <v>0</v>
      </c>
      <c r="CP24" s="43">
        <v>0</v>
      </c>
      <c r="CQ24" s="43">
        <v>0</v>
      </c>
      <c r="CR24" s="43">
        <v>0</v>
      </c>
      <c r="CS24" s="43">
        <v>0</v>
      </c>
      <c r="CT24" s="43">
        <v>0</v>
      </c>
      <c r="CU24" s="43">
        <v>0</v>
      </c>
      <c r="CV24" s="43">
        <v>0</v>
      </c>
      <c r="CW24" s="43">
        <v>0</v>
      </c>
      <c r="CX24" s="43">
        <v>0</v>
      </c>
      <c r="CY24" s="43">
        <v>0</v>
      </c>
      <c r="CZ24" s="43">
        <v>2.1922428330500001E-3</v>
      </c>
      <c r="DA24" s="43">
        <v>0</v>
      </c>
      <c r="DB24" s="43">
        <v>0</v>
      </c>
      <c r="DC24" s="43">
        <v>2.0236087689700002E-3</v>
      </c>
      <c r="DD24" s="43">
        <v>8.4148397976400002E-2</v>
      </c>
      <c r="DE24" s="43">
        <v>0</v>
      </c>
      <c r="DF24" s="43">
        <v>0</v>
      </c>
      <c r="DG24" s="43">
        <v>4.03035413153E-2</v>
      </c>
      <c r="DH24" s="43">
        <v>0</v>
      </c>
      <c r="DI24" s="43">
        <v>0</v>
      </c>
      <c r="DJ24" s="43">
        <v>9.4266441821200003E-2</v>
      </c>
      <c r="DK24" s="43">
        <v>3.3389544687999997E-2</v>
      </c>
      <c r="DL24" s="43">
        <v>0</v>
      </c>
      <c r="DM24" s="43">
        <v>0</v>
      </c>
      <c r="DN24" s="43">
        <v>3.37268128162E-4</v>
      </c>
      <c r="DO24" s="43">
        <v>0</v>
      </c>
      <c r="DP24" s="43">
        <v>2.3608768971300001E-3</v>
      </c>
      <c r="DQ24" s="43">
        <v>5.5480607082599998E-2</v>
      </c>
      <c r="DR24" s="43">
        <v>0</v>
      </c>
      <c r="DS24" s="43">
        <v>8.2799325463700002E-2</v>
      </c>
      <c r="DT24" s="43">
        <v>1.16357504216E-2</v>
      </c>
      <c r="DU24" s="43">
        <v>6.74536256324E-4</v>
      </c>
      <c r="DV24" s="43">
        <v>0</v>
      </c>
      <c r="DW24" s="43">
        <v>0</v>
      </c>
      <c r="DX24" s="43">
        <v>0</v>
      </c>
      <c r="DY24" s="43">
        <v>0</v>
      </c>
      <c r="DZ24" s="43">
        <v>2.0573355817899999E-2</v>
      </c>
      <c r="EA24" s="43">
        <v>0</v>
      </c>
      <c r="EB24" s="43">
        <v>0.24215851601999999</v>
      </c>
      <c r="EC24" s="43">
        <v>0</v>
      </c>
      <c r="ED24" s="43">
        <v>9.3929173693099999E-2</v>
      </c>
      <c r="EE24" s="43">
        <v>4.4519392917400001E-2</v>
      </c>
      <c r="EF24" s="43">
        <v>0</v>
      </c>
      <c r="EG24" s="43">
        <v>1.3153456998300001E-2</v>
      </c>
      <c r="EH24" s="43">
        <v>0</v>
      </c>
      <c r="EI24" s="43">
        <v>3.70994940978E-3</v>
      </c>
      <c r="EJ24" s="43">
        <v>0</v>
      </c>
      <c r="EK24" s="43">
        <v>0</v>
      </c>
      <c r="EL24" s="43">
        <v>0</v>
      </c>
      <c r="EM24" s="43">
        <v>0</v>
      </c>
      <c r="EN24" s="43">
        <v>0</v>
      </c>
      <c r="EO24" s="43">
        <v>0</v>
      </c>
      <c r="EP24" s="43">
        <v>0</v>
      </c>
      <c r="EQ24" s="43">
        <v>0</v>
      </c>
      <c r="ER24" s="43">
        <v>0</v>
      </c>
      <c r="ES24" s="43">
        <v>0</v>
      </c>
      <c r="ET24" s="43">
        <v>0</v>
      </c>
      <c r="EU24" s="43">
        <v>0</v>
      </c>
      <c r="EV24" s="43">
        <v>0</v>
      </c>
      <c r="EW24" s="43">
        <v>0</v>
      </c>
      <c r="EX24" s="43">
        <v>0</v>
      </c>
      <c r="EY24" s="43">
        <v>6.2900505902200005E-2</v>
      </c>
      <c r="EZ24" s="43">
        <v>0</v>
      </c>
      <c r="FA24" s="43">
        <v>0</v>
      </c>
      <c r="FB24" s="43">
        <v>0</v>
      </c>
      <c r="FC24" s="43">
        <v>0</v>
      </c>
      <c r="FD24" s="43">
        <v>0</v>
      </c>
      <c r="FE24" s="43">
        <v>5.7335581787499998E-3</v>
      </c>
      <c r="FF24" s="43">
        <v>0</v>
      </c>
      <c r="FG24" s="43">
        <v>0</v>
      </c>
      <c r="FH24" s="43">
        <v>0</v>
      </c>
      <c r="FI24" s="43">
        <v>0</v>
      </c>
      <c r="FJ24" s="43">
        <v>0</v>
      </c>
      <c r="FK24" s="43">
        <v>0</v>
      </c>
      <c r="FL24" s="43">
        <v>0</v>
      </c>
      <c r="FM24" s="43">
        <v>0</v>
      </c>
      <c r="FN24" s="43">
        <v>0</v>
      </c>
      <c r="FO24" s="43">
        <v>3.1365935919100002E-2</v>
      </c>
      <c r="FP24" s="43">
        <v>0</v>
      </c>
      <c r="FQ24" s="43">
        <v>0</v>
      </c>
      <c r="FR24" s="43">
        <v>1.68634064081E-4</v>
      </c>
      <c r="FS24" s="43">
        <v>0</v>
      </c>
      <c r="FT24" s="43">
        <v>0</v>
      </c>
      <c r="FU24" s="43">
        <v>0</v>
      </c>
      <c r="FV24" s="43">
        <v>0</v>
      </c>
      <c r="FW24" s="43">
        <v>0</v>
      </c>
      <c r="FX24" s="43">
        <v>0</v>
      </c>
      <c r="FY24" s="43">
        <v>0</v>
      </c>
      <c r="FZ24" s="43">
        <v>0</v>
      </c>
      <c r="GA24" s="43">
        <v>0</v>
      </c>
      <c r="GB24" s="43">
        <v>0</v>
      </c>
      <c r="GC24" s="43">
        <v>0</v>
      </c>
      <c r="GD24" s="43">
        <v>0</v>
      </c>
    </row>
    <row r="25" spans="1:186" ht="16.5" x14ac:dyDescent="0.3">
      <c r="A25" s="21" t="s">
        <v>258</v>
      </c>
      <c r="B25" s="22" t="s">
        <v>1</v>
      </c>
      <c r="C25" s="23">
        <v>13</v>
      </c>
      <c r="D25" s="23" t="s">
        <v>195</v>
      </c>
      <c r="E25" s="24" t="s">
        <v>184</v>
      </c>
      <c r="F25" s="25" t="s">
        <v>259</v>
      </c>
      <c r="G25" s="26" t="s">
        <v>1</v>
      </c>
      <c r="H25" s="26" t="s">
        <v>184</v>
      </c>
      <c r="I25" s="27">
        <v>13</v>
      </c>
      <c r="J25" s="27">
        <v>160</v>
      </c>
      <c r="K25" s="27">
        <v>57</v>
      </c>
      <c r="L25" s="28">
        <f t="shared" si="0"/>
        <v>22.265624999999996</v>
      </c>
      <c r="M25" s="29">
        <v>87</v>
      </c>
      <c r="N25" s="30" t="s">
        <v>186</v>
      </c>
      <c r="O25" s="30" t="s">
        <v>186</v>
      </c>
      <c r="P25" s="30" t="s">
        <v>186</v>
      </c>
      <c r="Q25" s="30" t="s">
        <v>186</v>
      </c>
      <c r="R25" s="30" t="s">
        <v>186</v>
      </c>
      <c r="S25" s="31" t="s">
        <v>186</v>
      </c>
      <c r="T25" s="30" t="s">
        <v>186</v>
      </c>
      <c r="U25" s="30" t="s">
        <v>260</v>
      </c>
      <c r="V25" s="30" t="s">
        <v>186</v>
      </c>
      <c r="W25" s="30" t="s">
        <v>186</v>
      </c>
      <c r="X25" s="25">
        <v>1429.1049083298283</v>
      </c>
      <c r="Y25" s="25">
        <v>544.13416425308242</v>
      </c>
      <c r="Z25" s="25">
        <v>348.48370040052771</v>
      </c>
      <c r="AA25" s="25">
        <v>1541.7393980255517</v>
      </c>
      <c r="AB25" s="25">
        <v>359.69290573367783</v>
      </c>
      <c r="AC25" s="25">
        <v>480.19086014519218</v>
      </c>
      <c r="AD25" s="32">
        <v>182.7</v>
      </c>
      <c r="AE25" s="32">
        <v>56.52</v>
      </c>
      <c r="AF25" s="23" t="s">
        <v>195</v>
      </c>
      <c r="AG25" s="33">
        <v>54.4</v>
      </c>
      <c r="AH25" s="33">
        <v>13.9</v>
      </c>
      <c r="AI25" s="34">
        <f t="shared" ref="AI25:AI39" si="9">AE25/AG25*100</f>
        <v>103.89705882352942</v>
      </c>
      <c r="AJ25" s="34">
        <f t="shared" ref="AJ25:AJ39" si="10">AE25/AH25*100</f>
        <v>406.61870503597123</v>
      </c>
      <c r="AK25" s="35">
        <v>54.4</v>
      </c>
      <c r="AL25" s="36">
        <f t="shared" ref="AL25:AL39" si="11">(AE25/AK25)*100</f>
        <v>103.89705882352942</v>
      </c>
      <c r="AM25" s="37">
        <v>13.9</v>
      </c>
      <c r="AN25" s="38">
        <f t="shared" ref="AN25:AN39" si="12">(AE25/AM25)*100</f>
        <v>406.61870503597123</v>
      </c>
      <c r="AO25" s="39">
        <v>9335507.7661682405</v>
      </c>
      <c r="AP25" s="39">
        <v>26536758.299136098</v>
      </c>
      <c r="AQ25" s="39">
        <v>8123602.8719761502</v>
      </c>
      <c r="AR25" s="39">
        <v>19407268.880299699</v>
      </c>
      <c r="AT25" s="47">
        <v>6.6610455311999994E-2</v>
      </c>
      <c r="AU25" s="47">
        <v>0.76070826306899997</v>
      </c>
      <c r="AV25" s="47">
        <v>1.01180438449E-3</v>
      </c>
      <c r="AW25" s="47">
        <v>1.23102866779E-2</v>
      </c>
      <c r="AX25" s="47">
        <v>0</v>
      </c>
      <c r="AY25" s="47">
        <v>0.15615514333899999</v>
      </c>
      <c r="AZ25" s="47">
        <v>2.6981450252999998E-3</v>
      </c>
      <c r="BA25" s="47">
        <v>3.37268128162E-4</v>
      </c>
      <c r="BB25" s="47">
        <v>1.68634064081E-4</v>
      </c>
      <c r="BC25" s="47">
        <v>0</v>
      </c>
      <c r="BD25" s="47">
        <v>0</v>
      </c>
      <c r="BE25" s="47">
        <v>0</v>
      </c>
      <c r="BF25" s="47">
        <v>0</v>
      </c>
      <c r="BG25" s="48"/>
      <c r="BH25" s="43">
        <v>1.68634064081E-4</v>
      </c>
      <c r="BI25" s="43">
        <v>0</v>
      </c>
      <c r="BJ25" s="43">
        <v>2.6981450252999998E-3</v>
      </c>
      <c r="BK25" s="43">
        <v>0</v>
      </c>
      <c r="BL25" s="43">
        <v>0</v>
      </c>
      <c r="BM25" s="43">
        <v>0</v>
      </c>
      <c r="BN25" s="43">
        <v>0</v>
      </c>
      <c r="BO25" s="43">
        <v>0</v>
      </c>
      <c r="BP25" s="43">
        <v>0</v>
      </c>
      <c r="BQ25" s="43">
        <v>0</v>
      </c>
      <c r="BR25" s="43">
        <v>0</v>
      </c>
      <c r="BS25" s="43">
        <v>0</v>
      </c>
      <c r="BT25" s="43">
        <v>9.8988195615499999E-2</v>
      </c>
      <c r="BU25" s="43">
        <v>0</v>
      </c>
      <c r="BV25" s="43">
        <v>0</v>
      </c>
      <c r="BW25" s="43">
        <v>7.41989881956E-3</v>
      </c>
      <c r="BX25" s="43">
        <v>4.9747048903899999E-2</v>
      </c>
      <c r="BY25" s="43">
        <v>0</v>
      </c>
      <c r="BZ25" s="43">
        <v>0</v>
      </c>
      <c r="CA25" s="43">
        <v>0</v>
      </c>
      <c r="CB25" s="43">
        <v>1.1298482293400001E-2</v>
      </c>
      <c r="CC25" s="43">
        <v>0</v>
      </c>
      <c r="CD25" s="43">
        <v>0</v>
      </c>
      <c r="CE25" s="43">
        <v>0</v>
      </c>
      <c r="CF25" s="43">
        <v>0</v>
      </c>
      <c r="CG25" s="43">
        <v>0</v>
      </c>
      <c r="CH25" s="43">
        <v>0</v>
      </c>
      <c r="CI25" s="43">
        <v>0</v>
      </c>
      <c r="CJ25" s="43">
        <v>0</v>
      </c>
      <c r="CK25" s="43">
        <v>3.37268128162E-4</v>
      </c>
      <c r="CL25" s="43">
        <v>0</v>
      </c>
      <c r="CM25" s="43">
        <v>6.74536256324E-4</v>
      </c>
      <c r="CN25" s="43">
        <v>0</v>
      </c>
      <c r="CO25" s="43">
        <v>0</v>
      </c>
      <c r="CP25" s="43">
        <v>0</v>
      </c>
      <c r="CQ25" s="43">
        <v>0</v>
      </c>
      <c r="CR25" s="43">
        <v>0</v>
      </c>
      <c r="CS25" s="43">
        <v>0</v>
      </c>
      <c r="CT25" s="43">
        <v>0</v>
      </c>
      <c r="CU25" s="43">
        <v>0</v>
      </c>
      <c r="CV25" s="43">
        <v>0</v>
      </c>
      <c r="CW25" s="43">
        <v>0</v>
      </c>
      <c r="CX25" s="43">
        <v>0</v>
      </c>
      <c r="CY25" s="43">
        <v>0</v>
      </c>
      <c r="CZ25" s="43">
        <v>0</v>
      </c>
      <c r="DA25" s="43">
        <v>0</v>
      </c>
      <c r="DB25" s="43">
        <v>0</v>
      </c>
      <c r="DC25" s="43">
        <v>0</v>
      </c>
      <c r="DD25" s="43">
        <v>6.74536256324E-4</v>
      </c>
      <c r="DE25" s="43">
        <v>3.1365935919100002E-2</v>
      </c>
      <c r="DF25" s="43">
        <v>0</v>
      </c>
      <c r="DG25" s="43">
        <v>0.162225969646</v>
      </c>
      <c r="DH25" s="43">
        <v>0</v>
      </c>
      <c r="DI25" s="43">
        <v>0</v>
      </c>
      <c r="DJ25" s="43">
        <v>0</v>
      </c>
      <c r="DK25" s="43">
        <v>0</v>
      </c>
      <c r="DL25" s="43">
        <v>0</v>
      </c>
      <c r="DM25" s="43">
        <v>5.0590219224299997E-4</v>
      </c>
      <c r="DN25" s="43">
        <v>0</v>
      </c>
      <c r="DO25" s="43">
        <v>0</v>
      </c>
      <c r="DP25" s="43">
        <v>0</v>
      </c>
      <c r="DQ25" s="43">
        <v>7.5379426644199998E-2</v>
      </c>
      <c r="DR25" s="43">
        <v>0</v>
      </c>
      <c r="DS25" s="43">
        <v>1.68634064081E-4</v>
      </c>
      <c r="DT25" s="43">
        <v>0</v>
      </c>
      <c r="DU25" s="43">
        <v>8.8026981450299996E-2</v>
      </c>
      <c r="DV25" s="43">
        <v>0</v>
      </c>
      <c r="DW25" s="43">
        <v>0</v>
      </c>
      <c r="DX25" s="43">
        <v>0</v>
      </c>
      <c r="DY25" s="43">
        <v>0</v>
      </c>
      <c r="DZ25" s="43">
        <v>0</v>
      </c>
      <c r="EA25" s="43">
        <v>0</v>
      </c>
      <c r="EB25" s="43">
        <v>0.25480607082599999</v>
      </c>
      <c r="EC25" s="43">
        <v>0</v>
      </c>
      <c r="ED25" s="43">
        <v>4.8566610455300002E-2</v>
      </c>
      <c r="EE25" s="43">
        <v>0</v>
      </c>
      <c r="EF25" s="43">
        <v>2.1922428330500001E-3</v>
      </c>
      <c r="EG25" s="43">
        <v>8.2630691399700005E-3</v>
      </c>
      <c r="EH25" s="43">
        <v>0</v>
      </c>
      <c r="EI25" s="43">
        <v>3.37268128162E-4</v>
      </c>
      <c r="EJ25" s="43">
        <v>0</v>
      </c>
      <c r="EK25" s="43">
        <v>0</v>
      </c>
      <c r="EL25" s="43">
        <v>0</v>
      </c>
      <c r="EM25" s="43">
        <v>0</v>
      </c>
      <c r="EN25" s="43">
        <v>0</v>
      </c>
      <c r="EO25" s="43">
        <v>0</v>
      </c>
      <c r="EP25" s="43">
        <v>2.0236087689700002E-3</v>
      </c>
      <c r="EQ25" s="43">
        <v>0</v>
      </c>
      <c r="ER25" s="43">
        <v>0</v>
      </c>
      <c r="ES25" s="43">
        <v>0</v>
      </c>
      <c r="ET25" s="43">
        <v>0</v>
      </c>
      <c r="EU25" s="43">
        <v>0</v>
      </c>
      <c r="EV25" s="43">
        <v>0</v>
      </c>
      <c r="EW25" s="43">
        <v>0</v>
      </c>
      <c r="EX25" s="43">
        <v>0</v>
      </c>
      <c r="EY25" s="43">
        <v>4.89038785835E-3</v>
      </c>
      <c r="EZ25" s="43">
        <v>0</v>
      </c>
      <c r="FA25" s="43">
        <v>0</v>
      </c>
      <c r="FB25" s="43">
        <v>3.9291736930899997E-2</v>
      </c>
      <c r="FC25" s="43">
        <v>0</v>
      </c>
      <c r="FD25" s="43">
        <v>0</v>
      </c>
      <c r="FE25" s="43">
        <v>4.1989881956200001E-2</v>
      </c>
      <c r="FF25" s="43">
        <v>0</v>
      </c>
      <c r="FG25" s="43">
        <v>0</v>
      </c>
      <c r="FH25" s="43">
        <v>0</v>
      </c>
      <c r="FI25" s="43">
        <v>0</v>
      </c>
      <c r="FJ25" s="43">
        <v>0</v>
      </c>
      <c r="FK25" s="43">
        <v>0</v>
      </c>
      <c r="FL25" s="43">
        <v>0</v>
      </c>
      <c r="FM25" s="43">
        <v>0</v>
      </c>
      <c r="FN25" s="43">
        <v>0</v>
      </c>
      <c r="FO25" s="43">
        <v>1.01180438449E-3</v>
      </c>
      <c r="FP25" s="43">
        <v>0</v>
      </c>
      <c r="FQ25" s="43">
        <v>0</v>
      </c>
      <c r="FR25" s="43">
        <v>0</v>
      </c>
      <c r="FS25" s="43">
        <v>0</v>
      </c>
      <c r="FT25" s="43">
        <v>0</v>
      </c>
      <c r="FU25" s="43">
        <v>0</v>
      </c>
      <c r="FV25" s="43">
        <v>0</v>
      </c>
      <c r="FW25" s="43">
        <v>0</v>
      </c>
      <c r="FX25" s="43">
        <v>0</v>
      </c>
      <c r="FY25" s="43">
        <v>0</v>
      </c>
      <c r="FZ25" s="43">
        <v>0</v>
      </c>
      <c r="GA25" s="43">
        <v>0</v>
      </c>
      <c r="GB25" s="43">
        <v>3.37268128162E-4</v>
      </c>
      <c r="GC25" s="43">
        <v>6.6610455311999994E-2</v>
      </c>
      <c r="GD25" s="43">
        <v>0</v>
      </c>
    </row>
    <row r="26" spans="1:186" ht="16.5" x14ac:dyDescent="0.3">
      <c r="A26" s="21" t="s">
        <v>261</v>
      </c>
      <c r="B26" s="22" t="s">
        <v>1</v>
      </c>
      <c r="C26" s="23">
        <v>9.33</v>
      </c>
      <c r="D26" s="23" t="s">
        <v>183</v>
      </c>
      <c r="E26" s="24" t="s">
        <v>184</v>
      </c>
      <c r="F26" s="25" t="s">
        <v>262</v>
      </c>
      <c r="G26" s="26" t="s">
        <v>1</v>
      </c>
      <c r="H26" s="51" t="s">
        <v>243</v>
      </c>
      <c r="I26" s="52">
        <v>9</v>
      </c>
      <c r="J26" s="52">
        <v>145</v>
      </c>
      <c r="K26" s="52">
        <v>45</v>
      </c>
      <c r="L26" s="53">
        <f t="shared" si="0"/>
        <v>21.403091557669441</v>
      </c>
      <c r="M26" s="54">
        <v>94</v>
      </c>
      <c r="N26" s="30" t="s">
        <v>186</v>
      </c>
      <c r="O26" s="30" t="s">
        <v>186</v>
      </c>
      <c r="P26" s="30" t="s">
        <v>186</v>
      </c>
      <c r="Q26" s="30" t="s">
        <v>186</v>
      </c>
      <c r="R26" s="30" t="s">
        <v>186</v>
      </c>
      <c r="S26" s="31" t="s">
        <v>186</v>
      </c>
      <c r="T26" s="30" t="s">
        <v>186</v>
      </c>
      <c r="U26" s="30" t="s">
        <v>263</v>
      </c>
      <c r="V26" s="30" t="s">
        <v>264</v>
      </c>
      <c r="W26" s="30" t="s">
        <v>186</v>
      </c>
      <c r="X26" s="25">
        <v>1537.3121232502162</v>
      </c>
      <c r="Y26" s="25">
        <v>818.33015234475113</v>
      </c>
      <c r="Z26" s="25">
        <v>470.1629299622208</v>
      </c>
      <c r="AA26" s="25">
        <v>2085.6974340946899</v>
      </c>
      <c r="AB26" s="25">
        <v>471.09182597220791</v>
      </c>
      <c r="AC26" s="25">
        <v>619.63229317750313</v>
      </c>
      <c r="AD26" s="32">
        <v>104.9</v>
      </c>
      <c r="AE26" s="32">
        <v>263.3</v>
      </c>
      <c r="AF26" s="23" t="s">
        <v>183</v>
      </c>
      <c r="AG26" s="33">
        <v>91.9</v>
      </c>
      <c r="AH26" s="33">
        <v>16.399999999999999</v>
      </c>
      <c r="AI26" s="34">
        <f t="shared" si="9"/>
        <v>286.50707290533188</v>
      </c>
      <c r="AJ26" s="34">
        <f t="shared" si="10"/>
        <v>1605.487804878049</v>
      </c>
      <c r="AK26" s="35">
        <v>91.9</v>
      </c>
      <c r="AL26" s="36">
        <f t="shared" si="11"/>
        <v>286.50707290533188</v>
      </c>
      <c r="AM26" s="37">
        <v>16.399999999999999</v>
      </c>
      <c r="AN26" s="38">
        <f t="shared" si="12"/>
        <v>1605.487804878049</v>
      </c>
      <c r="AO26" s="39">
        <v>3347830.7681773901</v>
      </c>
      <c r="AP26" s="39">
        <v>5553100.6899070097</v>
      </c>
      <c r="AQ26" s="39">
        <v>4187875.2756868498</v>
      </c>
      <c r="AR26" s="39">
        <v>1717404.05849039</v>
      </c>
      <c r="AT26" s="47">
        <v>0.229173693086</v>
      </c>
      <c r="AU26" s="47">
        <v>0.54350758853299996</v>
      </c>
      <c r="AV26" s="47">
        <v>1.70320404722E-2</v>
      </c>
      <c r="AW26" s="47">
        <v>3.3726812816200001E-3</v>
      </c>
      <c r="AX26" s="47">
        <v>0</v>
      </c>
      <c r="AY26" s="47">
        <v>0.206913996627</v>
      </c>
      <c r="AZ26" s="47">
        <v>0</v>
      </c>
      <c r="BA26" s="47">
        <v>0</v>
      </c>
      <c r="BB26" s="47">
        <v>0</v>
      </c>
      <c r="BC26" s="47">
        <v>0</v>
      </c>
      <c r="BD26" s="47">
        <v>0</v>
      </c>
      <c r="BE26" s="47">
        <v>0</v>
      </c>
      <c r="BF26" s="47">
        <v>0</v>
      </c>
      <c r="BG26" s="48"/>
      <c r="BH26" s="43">
        <v>0</v>
      </c>
      <c r="BI26" s="43">
        <v>0</v>
      </c>
      <c r="BJ26" s="43">
        <v>0</v>
      </c>
      <c r="BK26" s="43">
        <v>0</v>
      </c>
      <c r="BL26" s="43">
        <v>0</v>
      </c>
      <c r="BM26" s="43">
        <v>0</v>
      </c>
      <c r="BN26" s="43">
        <v>0</v>
      </c>
      <c r="BO26" s="43">
        <v>0</v>
      </c>
      <c r="BP26" s="43">
        <v>0</v>
      </c>
      <c r="BQ26" s="43">
        <v>0</v>
      </c>
      <c r="BR26" s="43">
        <v>0</v>
      </c>
      <c r="BS26" s="43">
        <v>0</v>
      </c>
      <c r="BT26" s="43">
        <v>0.109274873524</v>
      </c>
      <c r="BU26" s="43">
        <v>0</v>
      </c>
      <c r="BV26" s="43">
        <v>0</v>
      </c>
      <c r="BW26" s="43">
        <v>9.2748735244500002E-3</v>
      </c>
      <c r="BX26" s="43">
        <v>8.3979763912299998E-2</v>
      </c>
      <c r="BY26" s="43">
        <v>4.3844856661000003E-3</v>
      </c>
      <c r="BZ26" s="43">
        <v>0</v>
      </c>
      <c r="CA26" s="43">
        <v>0</v>
      </c>
      <c r="CB26" s="43">
        <v>2.3608768971300001E-3</v>
      </c>
      <c r="CC26" s="43">
        <v>0</v>
      </c>
      <c r="CD26" s="43">
        <v>0</v>
      </c>
      <c r="CE26" s="43">
        <v>0</v>
      </c>
      <c r="CF26" s="43">
        <v>0</v>
      </c>
      <c r="CG26" s="43">
        <v>1.01180438449E-3</v>
      </c>
      <c r="CH26" s="43">
        <v>0</v>
      </c>
      <c r="CI26" s="43">
        <v>0</v>
      </c>
      <c r="CJ26" s="43">
        <v>0</v>
      </c>
      <c r="CK26" s="43">
        <v>0</v>
      </c>
      <c r="CL26" s="43">
        <v>0</v>
      </c>
      <c r="CM26" s="43">
        <v>0</v>
      </c>
      <c r="CN26" s="43">
        <v>0</v>
      </c>
      <c r="CO26" s="43">
        <v>0</v>
      </c>
      <c r="CP26" s="43">
        <v>0</v>
      </c>
      <c r="CQ26" s="43">
        <v>0</v>
      </c>
      <c r="CR26" s="43">
        <v>0</v>
      </c>
      <c r="CS26" s="43">
        <v>8.4317032040500002E-4</v>
      </c>
      <c r="CT26" s="43">
        <v>0</v>
      </c>
      <c r="CU26" s="43">
        <v>0</v>
      </c>
      <c r="CV26" s="43">
        <v>0</v>
      </c>
      <c r="CW26" s="43">
        <v>0</v>
      </c>
      <c r="CX26" s="43">
        <v>0</v>
      </c>
      <c r="CY26" s="43">
        <v>0</v>
      </c>
      <c r="CZ26" s="43">
        <v>6.74536256324E-4</v>
      </c>
      <c r="DA26" s="43">
        <v>0</v>
      </c>
      <c r="DB26" s="43">
        <v>0</v>
      </c>
      <c r="DC26" s="43">
        <v>0</v>
      </c>
      <c r="DD26" s="43">
        <v>4.9915682968000002E-2</v>
      </c>
      <c r="DE26" s="43">
        <v>0</v>
      </c>
      <c r="DF26" s="43">
        <v>0</v>
      </c>
      <c r="DG26" s="43">
        <v>5.0421585160199997E-2</v>
      </c>
      <c r="DH26" s="43">
        <v>2.6981450252999998E-3</v>
      </c>
      <c r="DI26" s="43">
        <v>0</v>
      </c>
      <c r="DJ26" s="43">
        <v>3.3726812816200001E-3</v>
      </c>
      <c r="DK26" s="43">
        <v>6.74536256324E-4</v>
      </c>
      <c r="DL26" s="43">
        <v>0</v>
      </c>
      <c r="DM26" s="43">
        <v>0</v>
      </c>
      <c r="DN26" s="43">
        <v>0</v>
      </c>
      <c r="DO26" s="43">
        <v>0</v>
      </c>
      <c r="DP26" s="43">
        <v>0</v>
      </c>
      <c r="DQ26" s="43">
        <v>0.14738617200699999</v>
      </c>
      <c r="DR26" s="43">
        <v>1.29848229342E-2</v>
      </c>
      <c r="DS26" s="43">
        <v>0.10067453625599999</v>
      </c>
      <c r="DT26" s="43">
        <v>0</v>
      </c>
      <c r="DU26" s="43">
        <v>1.18043844857E-3</v>
      </c>
      <c r="DV26" s="43">
        <v>0</v>
      </c>
      <c r="DW26" s="43">
        <v>0</v>
      </c>
      <c r="DX26" s="43">
        <v>0</v>
      </c>
      <c r="DY26" s="43">
        <v>0</v>
      </c>
      <c r="DZ26" s="43">
        <v>2.32715008432E-2</v>
      </c>
      <c r="EA26" s="43">
        <v>0</v>
      </c>
      <c r="EB26" s="43">
        <v>3.91231028668E-2</v>
      </c>
      <c r="EC26" s="43">
        <v>0</v>
      </c>
      <c r="ED26" s="43">
        <v>3.2546374367600002E-2</v>
      </c>
      <c r="EE26" s="43">
        <v>0</v>
      </c>
      <c r="EF26" s="43">
        <v>5.2276559865099999E-3</v>
      </c>
      <c r="EG26" s="43">
        <v>1.5177065767300001E-3</v>
      </c>
      <c r="EH26" s="43">
        <v>0</v>
      </c>
      <c r="EI26" s="43">
        <v>0</v>
      </c>
      <c r="EJ26" s="43">
        <v>0</v>
      </c>
      <c r="EK26" s="43">
        <v>0</v>
      </c>
      <c r="EL26" s="43">
        <v>0</v>
      </c>
      <c r="EM26" s="43">
        <v>0</v>
      </c>
      <c r="EN26" s="43">
        <v>0</v>
      </c>
      <c r="EO26" s="43">
        <v>0</v>
      </c>
      <c r="EP26" s="43">
        <v>3.5413153457000001E-3</v>
      </c>
      <c r="EQ26" s="43">
        <v>0</v>
      </c>
      <c r="ER26" s="43">
        <v>0</v>
      </c>
      <c r="ES26" s="43">
        <v>0</v>
      </c>
      <c r="ET26" s="43">
        <v>0</v>
      </c>
      <c r="EU26" s="43">
        <v>0</v>
      </c>
      <c r="EV26" s="43">
        <v>0</v>
      </c>
      <c r="EW26" s="43">
        <v>0</v>
      </c>
      <c r="EX26" s="43">
        <v>0</v>
      </c>
      <c r="EY26" s="43">
        <v>6.2057335581800002E-2</v>
      </c>
      <c r="EZ26" s="43">
        <v>0</v>
      </c>
      <c r="FA26" s="43">
        <v>0</v>
      </c>
      <c r="FB26" s="43">
        <v>0</v>
      </c>
      <c r="FC26" s="43">
        <v>0</v>
      </c>
      <c r="FD26" s="43">
        <v>1.85497470489E-3</v>
      </c>
      <c r="FE26" s="43">
        <v>3.5413153457000001E-3</v>
      </c>
      <c r="FF26" s="43">
        <v>0</v>
      </c>
      <c r="FG26" s="43">
        <v>0</v>
      </c>
      <c r="FH26" s="43">
        <v>0</v>
      </c>
      <c r="FI26" s="43">
        <v>0</v>
      </c>
      <c r="FJ26" s="43">
        <v>0</v>
      </c>
      <c r="FK26" s="43">
        <v>0</v>
      </c>
      <c r="FL26" s="43">
        <v>0</v>
      </c>
      <c r="FM26" s="43">
        <v>0</v>
      </c>
      <c r="FN26" s="43">
        <v>0</v>
      </c>
      <c r="FO26" s="43">
        <v>1.70320404722E-2</v>
      </c>
      <c r="FP26" s="43">
        <v>0</v>
      </c>
      <c r="FQ26" s="43">
        <v>0</v>
      </c>
      <c r="FR26" s="43">
        <v>0</v>
      </c>
      <c r="FS26" s="43">
        <v>0</v>
      </c>
      <c r="FT26" s="43">
        <v>0</v>
      </c>
      <c r="FU26" s="43">
        <v>0</v>
      </c>
      <c r="FV26" s="43">
        <v>0</v>
      </c>
      <c r="FW26" s="43">
        <v>0</v>
      </c>
      <c r="FX26" s="43">
        <v>0</v>
      </c>
      <c r="FY26" s="43">
        <v>0</v>
      </c>
      <c r="FZ26" s="43">
        <v>0</v>
      </c>
      <c r="GA26" s="43">
        <v>0</v>
      </c>
      <c r="GB26" s="43">
        <v>0</v>
      </c>
      <c r="GC26" s="43">
        <v>0.229173693086</v>
      </c>
      <c r="GD26" s="43">
        <v>0</v>
      </c>
    </row>
    <row r="27" spans="1:186" ht="16.5" x14ac:dyDescent="0.3">
      <c r="A27" s="21" t="s">
        <v>265</v>
      </c>
      <c r="B27" s="22" t="s">
        <v>1</v>
      </c>
      <c r="C27" s="23">
        <v>9.33</v>
      </c>
      <c r="D27" s="23" t="s">
        <v>183</v>
      </c>
      <c r="E27" s="24" t="s">
        <v>184</v>
      </c>
      <c r="F27" s="25" t="s">
        <v>266</v>
      </c>
      <c r="G27" s="26" t="s">
        <v>1</v>
      </c>
      <c r="H27" s="26" t="s">
        <v>184</v>
      </c>
      <c r="I27" s="27">
        <v>9</v>
      </c>
      <c r="J27" s="50"/>
      <c r="K27" s="27">
        <v>28</v>
      </c>
      <c r="L27" s="28"/>
      <c r="M27" s="29"/>
      <c r="N27" s="30" t="s">
        <v>186</v>
      </c>
      <c r="O27" s="30" t="s">
        <v>186</v>
      </c>
      <c r="P27" s="30" t="s">
        <v>186</v>
      </c>
      <c r="Q27" s="30" t="s">
        <v>186</v>
      </c>
      <c r="R27" s="30" t="s">
        <v>186</v>
      </c>
      <c r="S27" s="31" t="s">
        <v>186</v>
      </c>
      <c r="T27" s="30" t="s">
        <v>186</v>
      </c>
      <c r="U27" s="30" t="s">
        <v>186</v>
      </c>
      <c r="V27" s="30" t="s">
        <v>186</v>
      </c>
      <c r="W27" s="30" t="s">
        <v>186</v>
      </c>
      <c r="X27" s="25">
        <v>11555.264144362936</v>
      </c>
      <c r="Y27" s="25">
        <v>1588.116994523225</v>
      </c>
      <c r="Z27" s="25">
        <v>1379.8437652582707</v>
      </c>
      <c r="AA27" s="25">
        <v>2831.637279326324</v>
      </c>
      <c r="AB27" s="25">
        <v>1415.4824258836773</v>
      </c>
      <c r="AC27" s="25">
        <v>728.28387486837005</v>
      </c>
      <c r="AD27" s="32">
        <v>84.65</v>
      </c>
      <c r="AE27" s="32">
        <v>74.650000000000006</v>
      </c>
      <c r="AF27" s="23" t="s">
        <v>183</v>
      </c>
      <c r="AG27" s="33">
        <v>101.4</v>
      </c>
      <c r="AH27" s="33">
        <v>16.399999999999999</v>
      </c>
      <c r="AI27" s="34">
        <f t="shared" si="9"/>
        <v>73.619329388560161</v>
      </c>
      <c r="AJ27" s="34">
        <f t="shared" si="10"/>
        <v>455.18292682926835</v>
      </c>
      <c r="AK27" s="35">
        <v>101.4</v>
      </c>
      <c r="AL27" s="36">
        <f t="shared" si="11"/>
        <v>73.619329388560161</v>
      </c>
      <c r="AM27" s="37">
        <v>16.399999999999999</v>
      </c>
      <c r="AN27" s="38">
        <f t="shared" si="12"/>
        <v>455.18292682926835</v>
      </c>
      <c r="AO27" s="39">
        <v>2189665.3431743602</v>
      </c>
      <c r="AP27" s="39">
        <v>634171957.939713</v>
      </c>
      <c r="AQ27" s="39">
        <v>10501340.315081401</v>
      </c>
      <c r="AR27" s="39">
        <v>33224739.526446901</v>
      </c>
      <c r="AT27" s="47">
        <v>0</v>
      </c>
      <c r="AU27" s="47">
        <v>0.63558178752100003</v>
      </c>
      <c r="AV27" s="47">
        <v>3.37268128162E-4</v>
      </c>
      <c r="AW27" s="47">
        <v>6.7453625632400002E-3</v>
      </c>
      <c r="AX27" s="47">
        <v>0</v>
      </c>
      <c r="AY27" s="47">
        <v>0.35699831365899998</v>
      </c>
      <c r="AZ27" s="47">
        <v>0</v>
      </c>
      <c r="BA27" s="47">
        <v>0</v>
      </c>
      <c r="BB27" s="47">
        <v>3.37268128162E-4</v>
      </c>
      <c r="BC27" s="47">
        <v>0</v>
      </c>
      <c r="BD27" s="47">
        <v>0</v>
      </c>
      <c r="BE27" s="47">
        <v>0</v>
      </c>
      <c r="BF27" s="47">
        <v>0</v>
      </c>
      <c r="BG27" s="48"/>
      <c r="BH27" s="43">
        <v>3.37268128162E-4</v>
      </c>
      <c r="BI27" s="43">
        <v>0</v>
      </c>
      <c r="BJ27" s="43">
        <v>0</v>
      </c>
      <c r="BK27" s="43">
        <v>0</v>
      </c>
      <c r="BL27" s="43">
        <v>0</v>
      </c>
      <c r="BM27" s="43">
        <v>3.5413153457000001E-3</v>
      </c>
      <c r="BN27" s="43">
        <v>0</v>
      </c>
      <c r="BO27" s="43">
        <v>0</v>
      </c>
      <c r="BP27" s="43">
        <v>0</v>
      </c>
      <c r="BQ27" s="43">
        <v>0</v>
      </c>
      <c r="BR27" s="43">
        <v>0</v>
      </c>
      <c r="BS27" s="43">
        <v>0</v>
      </c>
      <c r="BT27" s="43">
        <v>0.28229342327200002</v>
      </c>
      <c r="BU27" s="43">
        <v>0</v>
      </c>
      <c r="BV27" s="43">
        <v>0</v>
      </c>
      <c r="BW27" s="43">
        <v>0</v>
      </c>
      <c r="BX27" s="43">
        <v>7.11635750422E-2</v>
      </c>
      <c r="BY27" s="43">
        <v>0</v>
      </c>
      <c r="BZ27" s="43">
        <v>0</v>
      </c>
      <c r="CA27" s="43">
        <v>0</v>
      </c>
      <c r="CB27" s="43">
        <v>2.3608768971300001E-3</v>
      </c>
      <c r="CC27" s="43">
        <v>0</v>
      </c>
      <c r="CD27" s="43">
        <v>0</v>
      </c>
      <c r="CE27" s="43">
        <v>1.18043844857E-3</v>
      </c>
      <c r="CF27" s="43">
        <v>0</v>
      </c>
      <c r="CG27" s="43">
        <v>6.74536256324E-4</v>
      </c>
      <c r="CH27" s="43">
        <v>0</v>
      </c>
      <c r="CI27" s="43">
        <v>2.5295109612100001E-3</v>
      </c>
      <c r="CJ27" s="43">
        <v>0</v>
      </c>
      <c r="CK27" s="43">
        <v>0</v>
      </c>
      <c r="CL27" s="43">
        <v>0</v>
      </c>
      <c r="CM27" s="43">
        <v>0</v>
      </c>
      <c r="CN27" s="43">
        <v>0</v>
      </c>
      <c r="CO27" s="43">
        <v>0</v>
      </c>
      <c r="CP27" s="43">
        <v>0</v>
      </c>
      <c r="CQ27" s="43">
        <v>0</v>
      </c>
      <c r="CR27" s="43">
        <v>0</v>
      </c>
      <c r="CS27" s="43">
        <v>6.74536256324E-4</v>
      </c>
      <c r="CT27" s="43">
        <v>0</v>
      </c>
      <c r="CU27" s="43">
        <v>0</v>
      </c>
      <c r="CV27" s="43">
        <v>0</v>
      </c>
      <c r="CW27" s="43">
        <v>0</v>
      </c>
      <c r="CX27" s="43">
        <v>0</v>
      </c>
      <c r="CY27" s="43">
        <v>0</v>
      </c>
      <c r="CZ27" s="43">
        <v>3.70994940978E-3</v>
      </c>
      <c r="DA27" s="43">
        <v>0</v>
      </c>
      <c r="DB27" s="43">
        <v>8.4317032040500002E-4</v>
      </c>
      <c r="DC27" s="43">
        <v>3.87858347386E-3</v>
      </c>
      <c r="DD27" s="43">
        <v>1.18043844857E-3</v>
      </c>
      <c r="DE27" s="43">
        <v>3.3895446880300002E-2</v>
      </c>
      <c r="DF27" s="43">
        <v>1.18043844857E-3</v>
      </c>
      <c r="DG27" s="43">
        <v>7.33558178752E-2</v>
      </c>
      <c r="DH27" s="43">
        <v>0</v>
      </c>
      <c r="DI27" s="43">
        <v>0</v>
      </c>
      <c r="DJ27" s="43">
        <v>0</v>
      </c>
      <c r="DK27" s="43">
        <v>4.1652613828E-2</v>
      </c>
      <c r="DL27" s="43">
        <v>0</v>
      </c>
      <c r="DM27" s="43">
        <v>0</v>
      </c>
      <c r="DN27" s="43">
        <v>0</v>
      </c>
      <c r="DO27" s="43">
        <v>0</v>
      </c>
      <c r="DP27" s="43">
        <v>0</v>
      </c>
      <c r="DQ27" s="43">
        <v>7.7571669477199998E-2</v>
      </c>
      <c r="DR27" s="43">
        <v>0</v>
      </c>
      <c r="DS27" s="43">
        <v>7.2849915683000005E-2</v>
      </c>
      <c r="DT27" s="43">
        <v>0</v>
      </c>
      <c r="DU27" s="43">
        <v>2.5463743676199999E-2</v>
      </c>
      <c r="DV27" s="43">
        <v>0</v>
      </c>
      <c r="DW27" s="43">
        <v>0</v>
      </c>
      <c r="DX27" s="43">
        <v>0</v>
      </c>
      <c r="DY27" s="43">
        <v>0</v>
      </c>
      <c r="DZ27" s="43">
        <v>0</v>
      </c>
      <c r="EA27" s="43">
        <v>0</v>
      </c>
      <c r="EB27" s="43">
        <v>0.16441821247899999</v>
      </c>
      <c r="EC27" s="43">
        <v>0</v>
      </c>
      <c r="ED27" s="43">
        <v>7.8246205733599999E-2</v>
      </c>
      <c r="EE27" s="43">
        <v>0</v>
      </c>
      <c r="EF27" s="43">
        <v>0</v>
      </c>
      <c r="EG27" s="43">
        <v>8.2630691399700005E-3</v>
      </c>
      <c r="EH27" s="43">
        <v>0</v>
      </c>
      <c r="EI27" s="43">
        <v>0</v>
      </c>
      <c r="EJ27" s="43">
        <v>0</v>
      </c>
      <c r="EK27" s="43">
        <v>0</v>
      </c>
      <c r="EL27" s="43">
        <v>0</v>
      </c>
      <c r="EM27" s="43">
        <v>0</v>
      </c>
      <c r="EN27" s="43">
        <v>0</v>
      </c>
      <c r="EO27" s="43">
        <v>6.9139966273200001E-3</v>
      </c>
      <c r="EP27" s="43">
        <v>2.1585160202399999E-2</v>
      </c>
      <c r="EQ27" s="43">
        <v>0</v>
      </c>
      <c r="ER27" s="43">
        <v>5.0590219224299997E-4</v>
      </c>
      <c r="ES27" s="43">
        <v>6.74536256324E-4</v>
      </c>
      <c r="ET27" s="43">
        <v>0</v>
      </c>
      <c r="EU27" s="43">
        <v>1.3490725126499999E-3</v>
      </c>
      <c r="EV27" s="43">
        <v>0</v>
      </c>
      <c r="EW27" s="43">
        <v>0</v>
      </c>
      <c r="EX27" s="43">
        <v>0</v>
      </c>
      <c r="EY27" s="43">
        <v>1.5682967959499999E-2</v>
      </c>
      <c r="EZ27" s="43">
        <v>0</v>
      </c>
      <c r="FA27" s="43">
        <v>0</v>
      </c>
      <c r="FB27" s="43">
        <v>0</v>
      </c>
      <c r="FC27" s="43">
        <v>0</v>
      </c>
      <c r="FD27" s="43">
        <v>0</v>
      </c>
      <c r="FE27" s="43">
        <v>1.68634064081E-3</v>
      </c>
      <c r="FF27" s="43">
        <v>0</v>
      </c>
      <c r="FG27" s="43">
        <v>0</v>
      </c>
      <c r="FH27" s="43">
        <v>0</v>
      </c>
      <c r="FI27" s="43">
        <v>0</v>
      </c>
      <c r="FJ27" s="43">
        <v>0</v>
      </c>
      <c r="FK27" s="43">
        <v>0</v>
      </c>
      <c r="FL27" s="43">
        <v>0</v>
      </c>
      <c r="FM27" s="43">
        <v>0</v>
      </c>
      <c r="FN27" s="43">
        <v>0</v>
      </c>
      <c r="FO27" s="43">
        <v>3.37268128162E-4</v>
      </c>
      <c r="FP27" s="43">
        <v>0</v>
      </c>
      <c r="FQ27" s="43">
        <v>0</v>
      </c>
      <c r="FR27" s="43">
        <v>0</v>
      </c>
      <c r="FS27" s="43">
        <v>0</v>
      </c>
      <c r="FT27" s="43">
        <v>0</v>
      </c>
      <c r="FU27" s="43">
        <v>0</v>
      </c>
      <c r="FV27" s="43">
        <v>0</v>
      </c>
      <c r="FW27" s="43">
        <v>0</v>
      </c>
      <c r="FX27" s="43">
        <v>0</v>
      </c>
      <c r="FY27" s="43">
        <v>0</v>
      </c>
      <c r="FZ27" s="43">
        <v>0</v>
      </c>
      <c r="GA27" s="43">
        <v>0</v>
      </c>
      <c r="GB27" s="43">
        <v>0</v>
      </c>
      <c r="GC27" s="43">
        <v>0</v>
      </c>
      <c r="GD27" s="43">
        <v>0</v>
      </c>
    </row>
    <row r="28" spans="1:186" ht="16.5" x14ac:dyDescent="0.3">
      <c r="A28" s="21" t="s">
        <v>267</v>
      </c>
      <c r="B28" s="22" t="s">
        <v>1</v>
      </c>
      <c r="C28" s="23">
        <v>11.25</v>
      </c>
      <c r="D28" s="23" t="s">
        <v>183</v>
      </c>
      <c r="E28" s="24" t="s">
        <v>184</v>
      </c>
      <c r="F28" s="25" t="s">
        <v>268</v>
      </c>
      <c r="G28" s="26" t="s">
        <v>1</v>
      </c>
      <c r="H28" s="26" t="s">
        <v>184</v>
      </c>
      <c r="I28" s="27">
        <v>11</v>
      </c>
      <c r="J28" s="27">
        <v>146</v>
      </c>
      <c r="K28" s="27">
        <v>45</v>
      </c>
      <c r="L28" s="28">
        <f t="shared" ref="L28:L37" si="13">K28/(J28/100)^2</f>
        <v>21.110902608369305</v>
      </c>
      <c r="M28" s="29">
        <v>90</v>
      </c>
      <c r="N28" s="30" t="s">
        <v>186</v>
      </c>
      <c r="O28" s="30" t="s">
        <v>186</v>
      </c>
      <c r="P28" s="30" t="s">
        <v>186</v>
      </c>
      <c r="Q28" s="30" t="s">
        <v>186</v>
      </c>
      <c r="R28" s="30" t="s">
        <v>186</v>
      </c>
      <c r="S28" s="31" t="s">
        <v>186</v>
      </c>
      <c r="T28" s="30" t="s">
        <v>186</v>
      </c>
      <c r="U28" s="30" t="s">
        <v>186</v>
      </c>
      <c r="V28" s="30" t="s">
        <v>186</v>
      </c>
      <c r="W28" s="30" t="s">
        <v>186</v>
      </c>
      <c r="X28" s="25">
        <v>1243.5704790858074</v>
      </c>
      <c r="Y28" s="25">
        <v>789.7277696867003</v>
      </c>
      <c r="Z28" s="25">
        <v>646.17455502374912</v>
      </c>
      <c r="AA28" s="25">
        <v>2026.5517820775005</v>
      </c>
      <c r="AB28" s="25">
        <v>680.15090619948876</v>
      </c>
      <c r="AC28" s="25">
        <v>877.80339864602115</v>
      </c>
      <c r="AD28" s="45">
        <v>800</v>
      </c>
      <c r="AE28" s="32">
        <v>43.094999999999999</v>
      </c>
      <c r="AF28" s="23" t="s">
        <v>183</v>
      </c>
      <c r="AG28" s="33">
        <v>63.1</v>
      </c>
      <c r="AH28" s="33">
        <v>14.7</v>
      </c>
      <c r="AI28" s="34">
        <f t="shared" si="9"/>
        <v>68.296354992076076</v>
      </c>
      <c r="AJ28" s="34">
        <f t="shared" si="10"/>
        <v>293.16326530612247</v>
      </c>
      <c r="AK28" s="35">
        <v>63.1</v>
      </c>
      <c r="AL28" s="36">
        <f t="shared" si="11"/>
        <v>68.296354992076076</v>
      </c>
      <c r="AM28" s="37">
        <v>14.7</v>
      </c>
      <c r="AN28" s="38">
        <f t="shared" si="12"/>
        <v>293.16326530612247</v>
      </c>
      <c r="AO28" s="39">
        <v>2354768.81943268</v>
      </c>
      <c r="AP28" s="39">
        <v>19023558.041606002</v>
      </c>
      <c r="AQ28" s="39">
        <v>2337468.4293138902</v>
      </c>
      <c r="AR28" s="39">
        <v>66562212.4902061</v>
      </c>
      <c r="AT28" s="47">
        <v>7.6391231028700005E-2</v>
      </c>
      <c r="AU28" s="47">
        <v>0.74468802698100001</v>
      </c>
      <c r="AV28" s="47">
        <v>5.0590219224299997E-4</v>
      </c>
      <c r="AW28" s="47">
        <v>9.6121416526100002E-3</v>
      </c>
      <c r="AX28" s="47">
        <v>0</v>
      </c>
      <c r="AY28" s="47">
        <v>0.16880269814500001</v>
      </c>
      <c r="AZ28" s="47">
        <v>0</v>
      </c>
      <c r="BA28" s="47">
        <v>0</v>
      </c>
      <c r="BB28" s="47">
        <v>0</v>
      </c>
      <c r="BC28" s="47">
        <v>0</v>
      </c>
      <c r="BD28" s="47">
        <v>0</v>
      </c>
      <c r="BE28" s="47">
        <v>0</v>
      </c>
      <c r="BF28" s="47">
        <v>0</v>
      </c>
      <c r="BG28" s="48"/>
      <c r="BH28" s="43">
        <v>0</v>
      </c>
      <c r="BI28" s="43">
        <v>0</v>
      </c>
      <c r="BJ28" s="43">
        <v>0</v>
      </c>
      <c r="BK28" s="43">
        <v>0</v>
      </c>
      <c r="BL28" s="43">
        <v>1.68634064081E-4</v>
      </c>
      <c r="BM28" s="43">
        <v>4.55311973019E-3</v>
      </c>
      <c r="BN28" s="43">
        <v>0</v>
      </c>
      <c r="BO28" s="43">
        <v>0</v>
      </c>
      <c r="BP28" s="43">
        <v>0</v>
      </c>
      <c r="BQ28" s="43">
        <v>0</v>
      </c>
      <c r="BR28" s="43">
        <v>0</v>
      </c>
      <c r="BS28" s="43">
        <v>0</v>
      </c>
      <c r="BT28" s="43">
        <v>5.7335581787499998E-3</v>
      </c>
      <c r="BU28" s="43">
        <v>1.5682967959499999E-2</v>
      </c>
      <c r="BV28" s="43">
        <v>3.4401349072499997E-2</v>
      </c>
      <c r="BW28" s="43">
        <v>0</v>
      </c>
      <c r="BX28" s="43">
        <v>0.10826306914</v>
      </c>
      <c r="BY28" s="43">
        <v>0</v>
      </c>
      <c r="BZ28" s="43">
        <v>0</v>
      </c>
      <c r="CA28" s="43">
        <v>0</v>
      </c>
      <c r="CB28" s="43">
        <v>2.6981450252999998E-3</v>
      </c>
      <c r="CC28" s="43">
        <v>0</v>
      </c>
      <c r="CD28" s="43">
        <v>0</v>
      </c>
      <c r="CE28" s="43">
        <v>5.7335581787499998E-3</v>
      </c>
      <c r="CF28" s="43">
        <v>0</v>
      </c>
      <c r="CG28" s="43">
        <v>0</v>
      </c>
      <c r="CH28" s="43">
        <v>6.74536256324E-4</v>
      </c>
      <c r="CI28" s="43">
        <v>0</v>
      </c>
      <c r="CJ28" s="43">
        <v>5.0590219224299997E-4</v>
      </c>
      <c r="CK28" s="43">
        <v>0</v>
      </c>
      <c r="CL28" s="43">
        <v>0</v>
      </c>
      <c r="CM28" s="43">
        <v>0</v>
      </c>
      <c r="CN28" s="43">
        <v>0</v>
      </c>
      <c r="CO28" s="43">
        <v>0</v>
      </c>
      <c r="CP28" s="43">
        <v>0</v>
      </c>
      <c r="CQ28" s="43">
        <v>0</v>
      </c>
      <c r="CR28" s="43">
        <v>0</v>
      </c>
      <c r="CS28" s="43">
        <v>1.01180438449E-3</v>
      </c>
      <c r="CT28" s="43">
        <v>0</v>
      </c>
      <c r="CU28" s="43">
        <v>0</v>
      </c>
      <c r="CV28" s="43">
        <v>0</v>
      </c>
      <c r="CW28" s="43">
        <v>0</v>
      </c>
      <c r="CX28" s="43">
        <v>0</v>
      </c>
      <c r="CY28" s="43">
        <v>0</v>
      </c>
      <c r="CZ28" s="43">
        <v>2.6981450252999998E-3</v>
      </c>
      <c r="DA28" s="43">
        <v>0</v>
      </c>
      <c r="DB28" s="43">
        <v>0</v>
      </c>
      <c r="DC28" s="43">
        <v>0</v>
      </c>
      <c r="DD28" s="43">
        <v>9.3086003372699996E-2</v>
      </c>
      <c r="DE28" s="43">
        <v>0</v>
      </c>
      <c r="DF28" s="43">
        <v>0</v>
      </c>
      <c r="DG28" s="43">
        <v>6.8971332209099998E-2</v>
      </c>
      <c r="DH28" s="43">
        <v>0</v>
      </c>
      <c r="DI28" s="43">
        <v>0</v>
      </c>
      <c r="DJ28" s="43">
        <v>0</v>
      </c>
      <c r="DK28" s="43">
        <v>0</v>
      </c>
      <c r="DL28" s="43">
        <v>0</v>
      </c>
      <c r="DM28" s="43">
        <v>0</v>
      </c>
      <c r="DN28" s="43">
        <v>0</v>
      </c>
      <c r="DO28" s="43">
        <v>0</v>
      </c>
      <c r="DP28" s="43">
        <v>0</v>
      </c>
      <c r="DQ28" s="43">
        <v>0.121585160202</v>
      </c>
      <c r="DR28" s="43">
        <v>0</v>
      </c>
      <c r="DS28" s="43">
        <v>0.105564924115</v>
      </c>
      <c r="DT28" s="43">
        <v>0</v>
      </c>
      <c r="DU28" s="43">
        <v>7.6559865092700005E-2</v>
      </c>
      <c r="DV28" s="43">
        <v>0</v>
      </c>
      <c r="DW28" s="43">
        <v>0</v>
      </c>
      <c r="DX28" s="43">
        <v>0</v>
      </c>
      <c r="DY28" s="43">
        <v>0</v>
      </c>
      <c r="DZ28" s="43">
        <v>8.4317032040500002E-4</v>
      </c>
      <c r="EA28" s="43">
        <v>0</v>
      </c>
      <c r="EB28" s="43">
        <v>4.0978077571700001E-2</v>
      </c>
      <c r="EC28" s="43">
        <v>0</v>
      </c>
      <c r="ED28" s="43">
        <v>7.9258010117999999E-3</v>
      </c>
      <c r="EE28" s="43">
        <v>0</v>
      </c>
      <c r="EF28" s="43">
        <v>0</v>
      </c>
      <c r="EG28" s="43">
        <v>1.2478920742000001E-2</v>
      </c>
      <c r="EH28" s="43">
        <v>0</v>
      </c>
      <c r="EI28" s="43">
        <v>0</v>
      </c>
      <c r="EJ28" s="43">
        <v>0</v>
      </c>
      <c r="EK28" s="43">
        <v>0</v>
      </c>
      <c r="EL28" s="43">
        <v>0</v>
      </c>
      <c r="EM28" s="43">
        <v>0</v>
      </c>
      <c r="EN28" s="43">
        <v>2.5295109612100001E-3</v>
      </c>
      <c r="EO28" s="43">
        <v>0</v>
      </c>
      <c r="EP28" s="43">
        <v>1.0455311973E-2</v>
      </c>
      <c r="EQ28" s="43">
        <v>0</v>
      </c>
      <c r="ER28" s="43">
        <v>0</v>
      </c>
      <c r="ES28" s="43">
        <v>0</v>
      </c>
      <c r="ET28" s="43">
        <v>0</v>
      </c>
      <c r="EU28" s="43">
        <v>0</v>
      </c>
      <c r="EV28" s="43">
        <v>0</v>
      </c>
      <c r="EW28" s="43">
        <v>0</v>
      </c>
      <c r="EX28" s="43">
        <v>0</v>
      </c>
      <c r="EY28" s="43">
        <v>9.32546374368E-2</v>
      </c>
      <c r="EZ28" s="43">
        <v>0</v>
      </c>
      <c r="FA28" s="43">
        <v>0</v>
      </c>
      <c r="FB28" s="43">
        <v>4.6037099494100002E-2</v>
      </c>
      <c r="FC28" s="43">
        <v>0</v>
      </c>
      <c r="FD28" s="43">
        <v>0</v>
      </c>
      <c r="FE28" s="43">
        <v>6.0708263069100002E-2</v>
      </c>
      <c r="FF28" s="43">
        <v>0</v>
      </c>
      <c r="FG28" s="43">
        <v>0</v>
      </c>
      <c r="FH28" s="43">
        <v>0</v>
      </c>
      <c r="FI28" s="43">
        <v>0</v>
      </c>
      <c r="FJ28" s="43">
        <v>0</v>
      </c>
      <c r="FK28" s="43">
        <v>0</v>
      </c>
      <c r="FL28" s="43">
        <v>0</v>
      </c>
      <c r="FM28" s="43">
        <v>5.0590219224299997E-4</v>
      </c>
      <c r="FN28" s="43">
        <v>0</v>
      </c>
      <c r="FO28" s="43">
        <v>0</v>
      </c>
      <c r="FP28" s="43">
        <v>0</v>
      </c>
      <c r="FQ28" s="43">
        <v>0</v>
      </c>
      <c r="FR28" s="43">
        <v>0</v>
      </c>
      <c r="FS28" s="43">
        <v>0</v>
      </c>
      <c r="FT28" s="43">
        <v>0</v>
      </c>
      <c r="FU28" s="43">
        <v>0</v>
      </c>
      <c r="FV28" s="43">
        <v>0</v>
      </c>
      <c r="FW28" s="43">
        <v>0</v>
      </c>
      <c r="FX28" s="43">
        <v>0</v>
      </c>
      <c r="FY28" s="43">
        <v>0</v>
      </c>
      <c r="FZ28" s="43">
        <v>0</v>
      </c>
      <c r="GA28" s="43">
        <v>0</v>
      </c>
      <c r="GB28" s="43">
        <v>0</v>
      </c>
      <c r="GC28" s="43">
        <v>7.6391231028700005E-2</v>
      </c>
      <c r="GD28" s="43">
        <v>0</v>
      </c>
    </row>
    <row r="29" spans="1:186" ht="16.5" x14ac:dyDescent="0.3">
      <c r="A29" s="21" t="s">
        <v>269</v>
      </c>
      <c r="B29" s="22" t="s">
        <v>1</v>
      </c>
      <c r="C29" s="23">
        <v>11.58</v>
      </c>
      <c r="D29" s="23" t="s">
        <v>195</v>
      </c>
      <c r="E29" s="24" t="s">
        <v>184</v>
      </c>
      <c r="F29" s="25" t="s">
        <v>270</v>
      </c>
      <c r="G29" s="26" t="s">
        <v>1</v>
      </c>
      <c r="H29" s="26" t="s">
        <v>184</v>
      </c>
      <c r="I29" s="27">
        <v>12</v>
      </c>
      <c r="J29" s="27">
        <v>155</v>
      </c>
      <c r="K29" s="27">
        <v>65</v>
      </c>
      <c r="L29" s="28">
        <f t="shared" si="13"/>
        <v>27.055150884495315</v>
      </c>
      <c r="M29" s="29">
        <v>98</v>
      </c>
      <c r="N29" s="30" t="s">
        <v>186</v>
      </c>
      <c r="O29" s="30" t="s">
        <v>186</v>
      </c>
      <c r="P29" s="30" t="s">
        <v>186</v>
      </c>
      <c r="Q29" s="30" t="s">
        <v>186</v>
      </c>
      <c r="R29" s="30" t="s">
        <v>186</v>
      </c>
      <c r="S29" s="31" t="s">
        <v>186</v>
      </c>
      <c r="T29" s="30" t="s">
        <v>186</v>
      </c>
      <c r="U29" s="30" t="s">
        <v>260</v>
      </c>
      <c r="V29" s="30" t="s">
        <v>186</v>
      </c>
      <c r="W29" s="30" t="s">
        <v>186</v>
      </c>
      <c r="X29" s="25">
        <v>959.07744208280712</v>
      </c>
      <c r="Y29" s="25">
        <v>421.34333695234398</v>
      </c>
      <c r="Z29" s="25">
        <v>137.03387929008494</v>
      </c>
      <c r="AA29" s="25">
        <v>2474.6158852112649</v>
      </c>
      <c r="AB29" s="25">
        <v>86.075073557330654</v>
      </c>
      <c r="AC29" s="25">
        <v>39.146000688243525</v>
      </c>
      <c r="AD29" s="45">
        <v>800</v>
      </c>
      <c r="AE29" s="32">
        <v>133.47749999999999</v>
      </c>
      <c r="AF29" s="23" t="s">
        <v>195</v>
      </c>
      <c r="AG29" s="33">
        <v>59</v>
      </c>
      <c r="AH29" s="33">
        <v>13.9</v>
      </c>
      <c r="AI29" s="34">
        <f t="shared" si="9"/>
        <v>226.2330508474576</v>
      </c>
      <c r="AJ29" s="34">
        <f t="shared" si="10"/>
        <v>960.26978417266184</v>
      </c>
      <c r="AK29" s="35">
        <v>59</v>
      </c>
      <c r="AL29" s="36">
        <f t="shared" si="11"/>
        <v>226.2330508474576</v>
      </c>
      <c r="AM29" s="37">
        <v>13.9</v>
      </c>
      <c r="AN29" s="38">
        <f t="shared" si="12"/>
        <v>960.26978417266184</v>
      </c>
      <c r="AO29" s="39">
        <v>729947.80538256397</v>
      </c>
      <c r="AP29" s="39">
        <v>343662130.91833401</v>
      </c>
      <c r="AQ29" s="39">
        <v>2059423.51774074</v>
      </c>
      <c r="AR29" s="39">
        <v>1461219.14854622</v>
      </c>
      <c r="AT29" s="47">
        <v>1.18043844857E-3</v>
      </c>
      <c r="AU29" s="47">
        <v>0.54603709949400003</v>
      </c>
      <c r="AV29" s="47">
        <v>0</v>
      </c>
      <c r="AW29" s="47">
        <v>0</v>
      </c>
      <c r="AX29" s="47">
        <v>8.4317032040500002E-4</v>
      </c>
      <c r="AY29" s="47">
        <v>0.45042158516000003</v>
      </c>
      <c r="AZ29" s="47">
        <v>0</v>
      </c>
      <c r="BA29" s="47">
        <v>0</v>
      </c>
      <c r="BB29" s="47">
        <v>0</v>
      </c>
      <c r="BC29" s="47">
        <v>0</v>
      </c>
      <c r="BD29" s="47">
        <v>1.5177065767300001E-3</v>
      </c>
      <c r="BE29" s="47">
        <v>0</v>
      </c>
      <c r="BF29" s="47">
        <v>0</v>
      </c>
      <c r="BG29" s="48"/>
      <c r="BH29" s="43">
        <v>0</v>
      </c>
      <c r="BI29" s="43">
        <v>0</v>
      </c>
      <c r="BJ29" s="43">
        <v>0</v>
      </c>
      <c r="BK29" s="43">
        <v>0</v>
      </c>
      <c r="BL29" s="43">
        <v>0</v>
      </c>
      <c r="BM29" s="43">
        <v>0</v>
      </c>
      <c r="BN29" s="43">
        <v>0</v>
      </c>
      <c r="BO29" s="43">
        <v>0</v>
      </c>
      <c r="BP29" s="43">
        <v>0</v>
      </c>
      <c r="BQ29" s="43">
        <v>0</v>
      </c>
      <c r="BR29" s="43">
        <v>0</v>
      </c>
      <c r="BS29" s="43">
        <v>0</v>
      </c>
      <c r="BT29" s="43">
        <v>0.34080944350800002</v>
      </c>
      <c r="BU29" s="43">
        <v>0</v>
      </c>
      <c r="BV29" s="43">
        <v>0</v>
      </c>
      <c r="BW29" s="43">
        <v>0</v>
      </c>
      <c r="BX29" s="43">
        <v>0.10236087689700001</v>
      </c>
      <c r="BY29" s="43">
        <v>7.2512647554800001E-3</v>
      </c>
      <c r="BZ29" s="43">
        <v>0</v>
      </c>
      <c r="CA29" s="43">
        <v>0</v>
      </c>
      <c r="CB29" s="43">
        <v>0</v>
      </c>
      <c r="CC29" s="43">
        <v>0</v>
      </c>
      <c r="CD29" s="43">
        <v>0</v>
      </c>
      <c r="CE29" s="43">
        <v>0</v>
      </c>
      <c r="CF29" s="43">
        <v>0</v>
      </c>
      <c r="CG29" s="43">
        <v>0</v>
      </c>
      <c r="CH29" s="43">
        <v>0</v>
      </c>
      <c r="CI29" s="43">
        <v>0</v>
      </c>
      <c r="CJ29" s="43">
        <v>0</v>
      </c>
      <c r="CK29" s="43">
        <v>0</v>
      </c>
      <c r="CL29" s="43">
        <v>0</v>
      </c>
      <c r="CM29" s="43">
        <v>0</v>
      </c>
      <c r="CN29" s="43">
        <v>0</v>
      </c>
      <c r="CO29" s="43">
        <v>0</v>
      </c>
      <c r="CP29" s="43">
        <v>0</v>
      </c>
      <c r="CQ29" s="43">
        <v>0</v>
      </c>
      <c r="CR29" s="43">
        <v>0</v>
      </c>
      <c r="CS29" s="43">
        <v>3.37268128162E-4</v>
      </c>
      <c r="CT29" s="43">
        <v>0</v>
      </c>
      <c r="CU29" s="43">
        <v>1.18043844857E-3</v>
      </c>
      <c r="CV29" s="43">
        <v>0</v>
      </c>
      <c r="CW29" s="43">
        <v>0</v>
      </c>
      <c r="CX29" s="43">
        <v>0</v>
      </c>
      <c r="CY29" s="43">
        <v>0</v>
      </c>
      <c r="CZ29" s="43">
        <v>0</v>
      </c>
      <c r="DA29" s="43">
        <v>0</v>
      </c>
      <c r="DB29" s="43">
        <v>0</v>
      </c>
      <c r="DC29" s="43">
        <v>0</v>
      </c>
      <c r="DD29" s="43">
        <v>0</v>
      </c>
      <c r="DE29" s="43">
        <v>0</v>
      </c>
      <c r="DF29" s="43">
        <v>0</v>
      </c>
      <c r="DG29" s="43">
        <v>8.3979763912299998E-2</v>
      </c>
      <c r="DH29" s="43">
        <v>0</v>
      </c>
      <c r="DI29" s="43">
        <v>0</v>
      </c>
      <c r="DJ29" s="43">
        <v>3.87858347386E-3</v>
      </c>
      <c r="DK29" s="43">
        <v>8.4317032040500002E-4</v>
      </c>
      <c r="DL29" s="43">
        <v>0</v>
      </c>
      <c r="DM29" s="43">
        <v>0</v>
      </c>
      <c r="DN29" s="43">
        <v>0</v>
      </c>
      <c r="DO29" s="43">
        <v>0</v>
      </c>
      <c r="DP29" s="43">
        <v>0</v>
      </c>
      <c r="DQ29" s="43">
        <v>0.135244519393</v>
      </c>
      <c r="DR29" s="43">
        <v>0</v>
      </c>
      <c r="DS29" s="43">
        <v>0.109612141653</v>
      </c>
      <c r="DT29" s="43">
        <v>0</v>
      </c>
      <c r="DU29" s="43">
        <v>0</v>
      </c>
      <c r="DV29" s="43">
        <v>0</v>
      </c>
      <c r="DW29" s="43">
        <v>0</v>
      </c>
      <c r="DX29" s="43">
        <v>0</v>
      </c>
      <c r="DY29" s="43">
        <v>0</v>
      </c>
      <c r="DZ29" s="43">
        <v>0</v>
      </c>
      <c r="EA29" s="43">
        <v>0</v>
      </c>
      <c r="EB29" s="43">
        <v>6.9139966273200001E-3</v>
      </c>
      <c r="EC29" s="43">
        <v>0</v>
      </c>
      <c r="ED29" s="43">
        <v>2.95109612142E-2</v>
      </c>
      <c r="EE29" s="43">
        <v>3.9460370994899997E-2</v>
      </c>
      <c r="EF29" s="43">
        <v>0</v>
      </c>
      <c r="EG29" s="43">
        <v>0</v>
      </c>
      <c r="EH29" s="43">
        <v>0</v>
      </c>
      <c r="EI29" s="43">
        <v>3.87858347386E-3</v>
      </c>
      <c r="EJ29" s="43">
        <v>0</v>
      </c>
      <c r="EK29" s="43">
        <v>0</v>
      </c>
      <c r="EL29" s="43">
        <v>0</v>
      </c>
      <c r="EM29" s="43">
        <v>0</v>
      </c>
      <c r="EN29" s="43">
        <v>0</v>
      </c>
      <c r="EO29" s="43">
        <v>0</v>
      </c>
      <c r="EP29" s="43">
        <v>0</v>
      </c>
      <c r="EQ29" s="43">
        <v>0</v>
      </c>
      <c r="ER29" s="43">
        <v>0</v>
      </c>
      <c r="ES29" s="43">
        <v>0</v>
      </c>
      <c r="ET29" s="43">
        <v>0</v>
      </c>
      <c r="EU29" s="43">
        <v>0</v>
      </c>
      <c r="EV29" s="43">
        <v>0</v>
      </c>
      <c r="EW29" s="43">
        <v>0</v>
      </c>
      <c r="EX29" s="43">
        <v>0</v>
      </c>
      <c r="EY29" s="43">
        <v>0.131197301855</v>
      </c>
      <c r="EZ29" s="43">
        <v>0</v>
      </c>
      <c r="FA29" s="43">
        <v>0</v>
      </c>
      <c r="FB29" s="43">
        <v>0</v>
      </c>
      <c r="FC29" s="43">
        <v>0</v>
      </c>
      <c r="FD29" s="43">
        <v>0</v>
      </c>
      <c r="FE29" s="43">
        <v>0</v>
      </c>
      <c r="FF29" s="43">
        <v>1.5177065767300001E-3</v>
      </c>
      <c r="FG29" s="43">
        <v>0</v>
      </c>
      <c r="FH29" s="43">
        <v>0</v>
      </c>
      <c r="FI29" s="43">
        <v>0</v>
      </c>
      <c r="FJ29" s="43">
        <v>0</v>
      </c>
      <c r="FK29" s="43">
        <v>0</v>
      </c>
      <c r="FL29" s="43">
        <v>0</v>
      </c>
      <c r="FM29" s="43">
        <v>0</v>
      </c>
      <c r="FN29" s="43">
        <v>0</v>
      </c>
      <c r="FO29" s="43">
        <v>0</v>
      </c>
      <c r="FP29" s="43">
        <v>0</v>
      </c>
      <c r="FQ29" s="43">
        <v>0</v>
      </c>
      <c r="FR29" s="43">
        <v>0</v>
      </c>
      <c r="FS29" s="43">
        <v>0</v>
      </c>
      <c r="FT29" s="43">
        <v>0</v>
      </c>
      <c r="FU29" s="43">
        <v>0</v>
      </c>
      <c r="FV29" s="43">
        <v>0</v>
      </c>
      <c r="FW29" s="43">
        <v>0</v>
      </c>
      <c r="FX29" s="43">
        <v>0</v>
      </c>
      <c r="FY29" s="43">
        <v>0</v>
      </c>
      <c r="FZ29" s="43">
        <v>8.4317032040500002E-4</v>
      </c>
      <c r="GA29" s="43">
        <v>0</v>
      </c>
      <c r="GB29" s="43">
        <v>0</v>
      </c>
      <c r="GC29" s="43">
        <v>1.18043844857E-3</v>
      </c>
      <c r="GD29" s="43">
        <v>0</v>
      </c>
    </row>
    <row r="30" spans="1:186" ht="16.5" x14ac:dyDescent="0.3">
      <c r="A30" s="21" t="s">
        <v>271</v>
      </c>
      <c r="B30" s="22" t="s">
        <v>1</v>
      </c>
      <c r="C30" s="23">
        <v>17.75</v>
      </c>
      <c r="D30" s="23" t="s">
        <v>195</v>
      </c>
      <c r="E30" s="24" t="s">
        <v>184</v>
      </c>
      <c r="F30" s="25" t="s">
        <v>272</v>
      </c>
      <c r="G30" s="26" t="s">
        <v>1</v>
      </c>
      <c r="H30" s="26" t="s">
        <v>184</v>
      </c>
      <c r="I30" s="27">
        <v>18</v>
      </c>
      <c r="J30" s="27">
        <v>180</v>
      </c>
      <c r="K30" s="27">
        <v>84</v>
      </c>
      <c r="L30" s="28">
        <f t="shared" si="13"/>
        <v>25.925925925925924</v>
      </c>
      <c r="M30" s="29">
        <v>86</v>
      </c>
      <c r="N30" s="30" t="s">
        <v>186</v>
      </c>
      <c r="O30" s="30" t="s">
        <v>186</v>
      </c>
      <c r="P30" s="30" t="s">
        <v>186</v>
      </c>
      <c r="Q30" s="30" t="s">
        <v>186</v>
      </c>
      <c r="R30" s="30" t="s">
        <v>186</v>
      </c>
      <c r="S30" s="31" t="s">
        <v>186</v>
      </c>
      <c r="T30" s="30" t="s">
        <v>186</v>
      </c>
      <c r="U30" s="30" t="s">
        <v>186</v>
      </c>
      <c r="V30" s="30" t="s">
        <v>186</v>
      </c>
      <c r="W30" s="30" t="s">
        <v>186</v>
      </c>
      <c r="X30" s="25">
        <v>609.17619715131639</v>
      </c>
      <c r="Y30" s="25">
        <v>242.28035491678796</v>
      </c>
      <c r="Z30" s="25">
        <v>153.3968143521131</v>
      </c>
      <c r="AA30" s="25">
        <v>895.73833166524855</v>
      </c>
      <c r="AB30" s="25">
        <v>142.33777258296419</v>
      </c>
      <c r="AC30" s="25">
        <v>273.92937407004644</v>
      </c>
      <c r="AD30" s="32">
        <v>103</v>
      </c>
      <c r="AE30" s="55">
        <v>16</v>
      </c>
      <c r="AF30" s="23" t="s">
        <v>195</v>
      </c>
      <c r="AG30" s="33">
        <v>54.4</v>
      </c>
      <c r="AH30" s="33">
        <v>13.9</v>
      </c>
      <c r="AI30" s="34">
        <f t="shared" si="9"/>
        <v>29.411764705882355</v>
      </c>
      <c r="AJ30" s="34">
        <f t="shared" si="10"/>
        <v>115.10791366906474</v>
      </c>
      <c r="AK30" s="56">
        <v>54.4</v>
      </c>
      <c r="AL30" s="36">
        <f t="shared" si="11"/>
        <v>29.411764705882355</v>
      </c>
      <c r="AM30" s="37">
        <v>13.9</v>
      </c>
      <c r="AN30" s="38">
        <f t="shared" si="12"/>
        <v>115.10791366906474</v>
      </c>
      <c r="AO30" s="39">
        <v>4866363.3487565303</v>
      </c>
      <c r="AP30" s="39">
        <v>72438147.065074101</v>
      </c>
      <c r="AQ30" s="39">
        <v>3386934.4624009398</v>
      </c>
      <c r="AR30" s="39">
        <v>33987235.900194898</v>
      </c>
      <c r="AT30" s="47">
        <v>5.4974704890400003E-2</v>
      </c>
      <c r="AU30" s="47">
        <v>0.78229342327200002</v>
      </c>
      <c r="AV30" s="47">
        <v>1.33220910624E-2</v>
      </c>
      <c r="AW30" s="47">
        <v>4.6037099494100002E-2</v>
      </c>
      <c r="AX30" s="47">
        <v>0</v>
      </c>
      <c r="AY30" s="47">
        <v>9.8482293423300005E-2</v>
      </c>
      <c r="AZ30" s="47">
        <v>0</v>
      </c>
      <c r="BA30" s="47">
        <v>0</v>
      </c>
      <c r="BB30" s="47">
        <v>3.37268128162E-4</v>
      </c>
      <c r="BC30" s="47">
        <v>4.55311973019E-3</v>
      </c>
      <c r="BD30" s="47">
        <v>0</v>
      </c>
      <c r="BE30" s="47">
        <v>0</v>
      </c>
      <c r="BF30" s="47">
        <v>0</v>
      </c>
      <c r="BG30" s="48"/>
      <c r="BH30" s="43">
        <v>3.37268128162E-4</v>
      </c>
      <c r="BI30" s="43">
        <v>0</v>
      </c>
      <c r="BJ30" s="43">
        <v>0</v>
      </c>
      <c r="BK30" s="43">
        <v>0</v>
      </c>
      <c r="BL30" s="43">
        <v>0</v>
      </c>
      <c r="BM30" s="43">
        <v>3.37268128162E-4</v>
      </c>
      <c r="BN30" s="43">
        <v>0</v>
      </c>
      <c r="BO30" s="43">
        <v>0</v>
      </c>
      <c r="BP30" s="43">
        <v>0</v>
      </c>
      <c r="BQ30" s="43">
        <v>0</v>
      </c>
      <c r="BR30" s="43">
        <v>0</v>
      </c>
      <c r="BS30" s="43">
        <v>0</v>
      </c>
      <c r="BT30" s="43">
        <v>4.4688026981499998E-2</v>
      </c>
      <c r="BU30" s="43">
        <v>7.9258010117999999E-3</v>
      </c>
      <c r="BV30" s="43">
        <v>3.55817875211E-2</v>
      </c>
      <c r="BW30" s="43">
        <v>8.7689713322099995E-3</v>
      </c>
      <c r="BX30" s="43">
        <v>0</v>
      </c>
      <c r="BY30" s="43">
        <v>1.18043844857E-3</v>
      </c>
      <c r="BZ30" s="43">
        <v>0</v>
      </c>
      <c r="CA30" s="43">
        <v>0</v>
      </c>
      <c r="CB30" s="43">
        <v>3.67622259696E-2</v>
      </c>
      <c r="CC30" s="43">
        <v>0</v>
      </c>
      <c r="CD30" s="43">
        <v>0</v>
      </c>
      <c r="CE30" s="43">
        <v>0</v>
      </c>
      <c r="CF30" s="43">
        <v>0</v>
      </c>
      <c r="CG30" s="43">
        <v>8.9376053962900003E-3</v>
      </c>
      <c r="CH30" s="43">
        <v>0</v>
      </c>
      <c r="CI30" s="43">
        <v>3.37268128162E-4</v>
      </c>
      <c r="CJ30" s="43">
        <v>0</v>
      </c>
      <c r="CK30" s="43">
        <v>0</v>
      </c>
      <c r="CL30" s="43">
        <v>0</v>
      </c>
      <c r="CM30" s="43">
        <v>0</v>
      </c>
      <c r="CN30" s="43">
        <v>0</v>
      </c>
      <c r="CO30" s="43">
        <v>4.55311973019E-3</v>
      </c>
      <c r="CP30" s="43">
        <v>0</v>
      </c>
      <c r="CQ30" s="43">
        <v>0</v>
      </c>
      <c r="CR30" s="43">
        <v>0</v>
      </c>
      <c r="CS30" s="43">
        <v>0</v>
      </c>
      <c r="CT30" s="43">
        <v>0</v>
      </c>
      <c r="CU30" s="43">
        <v>0</v>
      </c>
      <c r="CV30" s="43">
        <v>0</v>
      </c>
      <c r="CW30" s="43">
        <v>0</v>
      </c>
      <c r="CX30" s="43">
        <v>0</v>
      </c>
      <c r="CY30" s="43">
        <v>0</v>
      </c>
      <c r="CZ30" s="43">
        <v>0</v>
      </c>
      <c r="DA30" s="43">
        <v>6.74536256324E-4</v>
      </c>
      <c r="DB30" s="43">
        <v>0</v>
      </c>
      <c r="DC30" s="43">
        <v>1.68634064081E-3</v>
      </c>
      <c r="DD30" s="43">
        <v>0</v>
      </c>
      <c r="DE30" s="43">
        <v>0</v>
      </c>
      <c r="DF30" s="43">
        <v>0</v>
      </c>
      <c r="DG30" s="43">
        <v>0.119055649241</v>
      </c>
      <c r="DH30" s="43">
        <v>3.37268128162E-4</v>
      </c>
      <c r="DI30" s="43">
        <v>0</v>
      </c>
      <c r="DJ30" s="43">
        <v>1.97301854975E-2</v>
      </c>
      <c r="DK30" s="43">
        <v>0</v>
      </c>
      <c r="DL30" s="43">
        <v>0</v>
      </c>
      <c r="DM30" s="43">
        <v>0</v>
      </c>
      <c r="DN30" s="43">
        <v>0</v>
      </c>
      <c r="DO30" s="43">
        <v>0</v>
      </c>
      <c r="DP30" s="43">
        <v>1.01180438449E-3</v>
      </c>
      <c r="DQ30" s="43">
        <v>8.0775716694800007E-2</v>
      </c>
      <c r="DR30" s="43">
        <v>3.37268128162E-4</v>
      </c>
      <c r="DS30" s="43">
        <v>2.6981450253E-2</v>
      </c>
      <c r="DT30" s="43">
        <v>7.0826306914000001E-3</v>
      </c>
      <c r="DU30" s="43">
        <v>7.41989881956E-3</v>
      </c>
      <c r="DV30" s="43">
        <v>0</v>
      </c>
      <c r="DW30" s="43">
        <v>0</v>
      </c>
      <c r="DX30" s="43">
        <v>1.4502529510999999E-2</v>
      </c>
      <c r="DY30" s="43">
        <v>4.0640809443500001E-2</v>
      </c>
      <c r="DZ30" s="43">
        <v>6.74536256324E-4</v>
      </c>
      <c r="EA30" s="43">
        <v>0</v>
      </c>
      <c r="EB30" s="43">
        <v>9.3086003372699996E-2</v>
      </c>
      <c r="EC30" s="43">
        <v>0</v>
      </c>
      <c r="ED30" s="43">
        <v>0.14165261382800001</v>
      </c>
      <c r="EE30" s="43">
        <v>3.8279932546399997E-2</v>
      </c>
      <c r="EF30" s="43">
        <v>1.9224283305199999E-2</v>
      </c>
      <c r="EG30" s="43">
        <v>6.0370994940999997E-2</v>
      </c>
      <c r="EH30" s="43">
        <v>0</v>
      </c>
      <c r="EI30" s="43">
        <v>5.4637436762200002E-2</v>
      </c>
      <c r="EJ30" s="43">
        <v>0</v>
      </c>
      <c r="EK30" s="43">
        <v>0</v>
      </c>
      <c r="EL30" s="43">
        <v>0</v>
      </c>
      <c r="EM30" s="43">
        <v>1.41652613828E-2</v>
      </c>
      <c r="EN30" s="43">
        <v>1.68634064081E-4</v>
      </c>
      <c r="EO30" s="43">
        <v>0</v>
      </c>
      <c r="EP30" s="43">
        <v>0</v>
      </c>
      <c r="EQ30" s="43">
        <v>0</v>
      </c>
      <c r="ER30" s="43">
        <v>0</v>
      </c>
      <c r="ES30" s="43">
        <v>0</v>
      </c>
      <c r="ET30" s="43">
        <v>0</v>
      </c>
      <c r="EU30" s="43">
        <v>0</v>
      </c>
      <c r="EV30" s="43">
        <v>0</v>
      </c>
      <c r="EW30" s="43">
        <v>0</v>
      </c>
      <c r="EX30" s="43">
        <v>0</v>
      </c>
      <c r="EY30" s="43">
        <v>3.9797639123099998E-2</v>
      </c>
      <c r="EZ30" s="43">
        <v>0</v>
      </c>
      <c r="FA30" s="43">
        <v>0</v>
      </c>
      <c r="FB30" s="43">
        <v>0</v>
      </c>
      <c r="FC30" s="43">
        <v>0</v>
      </c>
      <c r="FD30" s="43">
        <v>0</v>
      </c>
      <c r="FE30" s="43">
        <v>0</v>
      </c>
      <c r="FF30" s="43">
        <v>0</v>
      </c>
      <c r="FG30" s="43">
        <v>0</v>
      </c>
      <c r="FH30" s="43">
        <v>0</v>
      </c>
      <c r="FI30" s="43">
        <v>0</v>
      </c>
      <c r="FJ30" s="43">
        <v>2.8667790893799998E-3</v>
      </c>
      <c r="FK30" s="43">
        <v>6.74536256324E-4</v>
      </c>
      <c r="FL30" s="43">
        <v>1.18043844857E-3</v>
      </c>
      <c r="FM30" s="43">
        <v>0</v>
      </c>
      <c r="FN30" s="43">
        <v>0</v>
      </c>
      <c r="FO30" s="43">
        <v>6.9139966273200001E-3</v>
      </c>
      <c r="FP30" s="43">
        <v>0</v>
      </c>
      <c r="FQ30" s="43">
        <v>1.68634064081E-3</v>
      </c>
      <c r="FR30" s="43">
        <v>0</v>
      </c>
      <c r="FS30" s="43">
        <v>0</v>
      </c>
      <c r="FT30" s="43">
        <v>0</v>
      </c>
      <c r="FU30" s="43">
        <v>0</v>
      </c>
      <c r="FV30" s="43">
        <v>0</v>
      </c>
      <c r="FW30" s="43">
        <v>0</v>
      </c>
      <c r="FX30" s="43">
        <v>0</v>
      </c>
      <c r="FY30" s="43">
        <v>0</v>
      </c>
      <c r="FZ30" s="43">
        <v>0</v>
      </c>
      <c r="GA30" s="43">
        <v>0</v>
      </c>
      <c r="GB30" s="43">
        <v>0</v>
      </c>
      <c r="GC30" s="43">
        <v>5.4974704890400003E-2</v>
      </c>
      <c r="GD30" s="43">
        <v>0</v>
      </c>
    </row>
    <row r="31" spans="1:186" ht="16.5" x14ac:dyDescent="0.3">
      <c r="A31" s="21" t="s">
        <v>273</v>
      </c>
      <c r="B31" s="22" t="s">
        <v>1</v>
      </c>
      <c r="C31" s="23">
        <v>10.92</v>
      </c>
      <c r="D31" s="23" t="s">
        <v>183</v>
      </c>
      <c r="E31" s="24" t="s">
        <v>184</v>
      </c>
      <c r="F31" s="25" t="s">
        <v>274</v>
      </c>
      <c r="G31" s="26" t="s">
        <v>1</v>
      </c>
      <c r="H31" s="26" t="s">
        <v>184</v>
      </c>
      <c r="I31" s="27">
        <v>11</v>
      </c>
      <c r="J31" s="27">
        <v>138</v>
      </c>
      <c r="K31" s="27">
        <v>35</v>
      </c>
      <c r="L31" s="28">
        <f t="shared" si="13"/>
        <v>18.378491913463563</v>
      </c>
      <c r="M31" s="29">
        <v>68</v>
      </c>
      <c r="N31" s="30" t="s">
        <v>186</v>
      </c>
      <c r="O31" s="30" t="s">
        <v>186</v>
      </c>
      <c r="P31" s="30" t="s">
        <v>186</v>
      </c>
      <c r="Q31" s="30" t="s">
        <v>186</v>
      </c>
      <c r="R31" s="30" t="s">
        <v>186</v>
      </c>
      <c r="S31" s="31" t="s">
        <v>186</v>
      </c>
      <c r="T31" s="30" t="s">
        <v>186</v>
      </c>
      <c r="U31" s="30" t="s">
        <v>186</v>
      </c>
      <c r="V31" s="30" t="s">
        <v>186</v>
      </c>
      <c r="W31" s="30" t="s">
        <v>186</v>
      </c>
      <c r="X31" s="25">
        <v>5324.5768766344117</v>
      </c>
      <c r="Y31" s="25">
        <v>1783.5783660876832</v>
      </c>
      <c r="Z31" s="25">
        <v>571.53494740687904</v>
      </c>
      <c r="AA31" s="25">
        <v>7527.8960249099691</v>
      </c>
      <c r="AB31" s="25">
        <v>478.33872847169476</v>
      </c>
      <c r="AC31" s="25">
        <v>1188.9524103222593</v>
      </c>
      <c r="AD31" s="32">
        <v>305.14999999999998</v>
      </c>
      <c r="AE31" s="32">
        <v>10.685</v>
      </c>
      <c r="AF31" s="23" t="s">
        <v>183</v>
      </c>
      <c r="AG31" s="33">
        <v>67.3</v>
      </c>
      <c r="AH31" s="33">
        <v>14.7</v>
      </c>
      <c r="AI31" s="34">
        <f t="shared" si="9"/>
        <v>15.876671619613672</v>
      </c>
      <c r="AJ31" s="34">
        <f t="shared" si="10"/>
        <v>72.687074829931973</v>
      </c>
      <c r="AK31" s="35">
        <v>67.3</v>
      </c>
      <c r="AL31" s="36">
        <f t="shared" si="11"/>
        <v>15.876671619613672</v>
      </c>
      <c r="AM31" s="37">
        <v>14.7</v>
      </c>
      <c r="AN31" s="38">
        <f t="shared" si="12"/>
        <v>72.687074829931973</v>
      </c>
      <c r="AO31" s="39">
        <v>2644194.98806033</v>
      </c>
      <c r="AP31" s="39">
        <v>307137003.361031</v>
      </c>
      <c r="AQ31" s="39">
        <v>3151620.3422681401</v>
      </c>
      <c r="AR31" s="39">
        <v>82140859.343109205</v>
      </c>
      <c r="AT31" s="47">
        <v>1.7537942664400001E-2</v>
      </c>
      <c r="AU31" s="47">
        <v>0.594435075885</v>
      </c>
      <c r="AV31" s="47">
        <v>0</v>
      </c>
      <c r="AW31" s="47">
        <v>1.39966273187E-2</v>
      </c>
      <c r="AX31" s="47">
        <v>1.5177065767300001E-3</v>
      </c>
      <c r="AY31" s="47">
        <v>0.37200674536299999</v>
      </c>
      <c r="AZ31" s="47">
        <v>0</v>
      </c>
      <c r="BA31" s="47">
        <v>0</v>
      </c>
      <c r="BB31" s="47">
        <v>1.68634064081E-4</v>
      </c>
      <c r="BC31" s="47">
        <v>3.37268128162E-4</v>
      </c>
      <c r="BD31" s="47">
        <v>0</v>
      </c>
      <c r="BE31" s="47">
        <v>0</v>
      </c>
      <c r="BF31" s="47">
        <v>0</v>
      </c>
      <c r="BG31" s="48"/>
      <c r="BH31" s="43">
        <v>1.68634064081E-4</v>
      </c>
      <c r="BI31" s="43">
        <v>0</v>
      </c>
      <c r="BJ31" s="43">
        <v>0</v>
      </c>
      <c r="BK31" s="43">
        <v>0</v>
      </c>
      <c r="BL31" s="43">
        <v>0</v>
      </c>
      <c r="BM31" s="43">
        <v>0</v>
      </c>
      <c r="BN31" s="43">
        <v>0</v>
      </c>
      <c r="BO31" s="43">
        <v>0</v>
      </c>
      <c r="BP31" s="43">
        <v>0</v>
      </c>
      <c r="BQ31" s="43">
        <v>0</v>
      </c>
      <c r="BR31" s="43">
        <v>0</v>
      </c>
      <c r="BS31" s="43">
        <v>0</v>
      </c>
      <c r="BT31" s="43">
        <v>0.34755480607099998</v>
      </c>
      <c r="BU31" s="43">
        <v>0</v>
      </c>
      <c r="BV31" s="43">
        <v>1.68634064081E-3</v>
      </c>
      <c r="BW31" s="43">
        <v>1.5514333895400001E-2</v>
      </c>
      <c r="BX31" s="43">
        <v>0</v>
      </c>
      <c r="BY31" s="43">
        <v>7.2512647554800001E-3</v>
      </c>
      <c r="BZ31" s="43">
        <v>0</v>
      </c>
      <c r="CA31" s="43">
        <v>2.5295109612100001E-3</v>
      </c>
      <c r="CB31" s="43">
        <v>1.09612141653E-2</v>
      </c>
      <c r="CC31" s="43">
        <v>0</v>
      </c>
      <c r="CD31" s="43">
        <v>0</v>
      </c>
      <c r="CE31" s="43">
        <v>0</v>
      </c>
      <c r="CF31" s="43">
        <v>0</v>
      </c>
      <c r="CG31" s="43">
        <v>5.0590219224299997E-4</v>
      </c>
      <c r="CH31" s="43">
        <v>0</v>
      </c>
      <c r="CI31" s="43">
        <v>0</v>
      </c>
      <c r="CJ31" s="43">
        <v>0</v>
      </c>
      <c r="CK31" s="43">
        <v>0</v>
      </c>
      <c r="CL31" s="43">
        <v>0</v>
      </c>
      <c r="CM31" s="43">
        <v>0</v>
      </c>
      <c r="CN31" s="43">
        <v>0</v>
      </c>
      <c r="CO31" s="43">
        <v>3.37268128162E-4</v>
      </c>
      <c r="CP31" s="43">
        <v>0</v>
      </c>
      <c r="CQ31" s="43">
        <v>0</v>
      </c>
      <c r="CR31" s="43">
        <v>0</v>
      </c>
      <c r="CS31" s="43">
        <v>0</v>
      </c>
      <c r="CT31" s="43">
        <v>0</v>
      </c>
      <c r="CU31" s="43">
        <v>0</v>
      </c>
      <c r="CV31" s="43">
        <v>0</v>
      </c>
      <c r="CW31" s="43">
        <v>0</v>
      </c>
      <c r="CX31" s="43">
        <v>0</v>
      </c>
      <c r="CY31" s="43">
        <v>0</v>
      </c>
      <c r="CZ31" s="43">
        <v>1.68634064081E-3</v>
      </c>
      <c r="DA31" s="43">
        <v>0</v>
      </c>
      <c r="DB31" s="43">
        <v>0</v>
      </c>
      <c r="DC31" s="43">
        <v>3.3726812816200001E-3</v>
      </c>
      <c r="DD31" s="43">
        <v>1.3153456998300001E-2</v>
      </c>
      <c r="DE31" s="43">
        <v>0</v>
      </c>
      <c r="DF31" s="43">
        <v>0</v>
      </c>
      <c r="DG31" s="43">
        <v>6.02023608769E-2</v>
      </c>
      <c r="DH31" s="43">
        <v>0</v>
      </c>
      <c r="DI31" s="43">
        <v>0</v>
      </c>
      <c r="DJ31" s="43">
        <v>3.37268128162E-4</v>
      </c>
      <c r="DK31" s="43">
        <v>0</v>
      </c>
      <c r="DL31" s="43">
        <v>0</v>
      </c>
      <c r="DM31" s="43">
        <v>0</v>
      </c>
      <c r="DN31" s="43">
        <v>0</v>
      </c>
      <c r="DO31" s="43">
        <v>0</v>
      </c>
      <c r="DP31" s="43">
        <v>1.68634064081E-4</v>
      </c>
      <c r="DQ31" s="43">
        <v>9.8650927487399995E-2</v>
      </c>
      <c r="DR31" s="43">
        <v>0</v>
      </c>
      <c r="DS31" s="43">
        <v>0.108937605396</v>
      </c>
      <c r="DT31" s="43">
        <v>1.68634064081E-4</v>
      </c>
      <c r="DU31" s="43">
        <v>1.18043844857E-3</v>
      </c>
      <c r="DV31" s="43">
        <v>0</v>
      </c>
      <c r="DW31" s="43">
        <v>0</v>
      </c>
      <c r="DX31" s="43">
        <v>0</v>
      </c>
      <c r="DY31" s="43">
        <v>0</v>
      </c>
      <c r="DZ31" s="43">
        <v>0</v>
      </c>
      <c r="EA31" s="43">
        <v>0</v>
      </c>
      <c r="EB31" s="43">
        <v>4.6205733558199999E-2</v>
      </c>
      <c r="EC31" s="43">
        <v>3.37268128162E-4</v>
      </c>
      <c r="ED31" s="43">
        <v>7.9426644182100006E-2</v>
      </c>
      <c r="EE31" s="43">
        <v>4.9578414839800002E-2</v>
      </c>
      <c r="EF31" s="43">
        <v>9.6121416526100002E-3</v>
      </c>
      <c r="EG31" s="43">
        <v>5.2276559865099999E-3</v>
      </c>
      <c r="EH31" s="43">
        <v>0</v>
      </c>
      <c r="EI31" s="43">
        <v>5.88532883642E-2</v>
      </c>
      <c r="EJ31" s="43">
        <v>0</v>
      </c>
      <c r="EK31" s="43">
        <v>0</v>
      </c>
      <c r="EL31" s="43">
        <v>0</v>
      </c>
      <c r="EM31" s="43">
        <v>0</v>
      </c>
      <c r="EN31" s="43">
        <v>0</v>
      </c>
      <c r="EO31" s="43">
        <v>0</v>
      </c>
      <c r="EP31" s="43">
        <v>0</v>
      </c>
      <c r="EQ31" s="43">
        <v>0</v>
      </c>
      <c r="ER31" s="43">
        <v>0</v>
      </c>
      <c r="ES31" s="43">
        <v>0</v>
      </c>
      <c r="ET31" s="43">
        <v>0</v>
      </c>
      <c r="EU31" s="43">
        <v>0</v>
      </c>
      <c r="EV31" s="43">
        <v>0</v>
      </c>
      <c r="EW31" s="43">
        <v>0</v>
      </c>
      <c r="EX31" s="43">
        <v>0</v>
      </c>
      <c r="EY31" s="43">
        <v>5.6155143338999999E-2</v>
      </c>
      <c r="EZ31" s="43">
        <v>1.68634064081E-4</v>
      </c>
      <c r="FA31" s="43">
        <v>0</v>
      </c>
      <c r="FB31" s="43">
        <v>0</v>
      </c>
      <c r="FC31" s="43">
        <v>0</v>
      </c>
      <c r="FD31" s="43">
        <v>5.0590219224299997E-4</v>
      </c>
      <c r="FE31" s="43">
        <v>5.0590219224299997E-4</v>
      </c>
      <c r="FF31" s="43">
        <v>0</v>
      </c>
      <c r="FG31" s="43">
        <v>0</v>
      </c>
      <c r="FH31" s="43">
        <v>0</v>
      </c>
      <c r="FI31" s="43">
        <v>0</v>
      </c>
      <c r="FJ31" s="43">
        <v>0</v>
      </c>
      <c r="FK31" s="43">
        <v>0</v>
      </c>
      <c r="FL31" s="43">
        <v>0</v>
      </c>
      <c r="FM31" s="43">
        <v>0</v>
      </c>
      <c r="FN31" s="43">
        <v>0</v>
      </c>
      <c r="FO31" s="43">
        <v>0</v>
      </c>
      <c r="FP31" s="43">
        <v>0</v>
      </c>
      <c r="FQ31" s="43">
        <v>0</v>
      </c>
      <c r="FR31" s="43">
        <v>0</v>
      </c>
      <c r="FS31" s="43">
        <v>0</v>
      </c>
      <c r="FT31" s="43">
        <v>0</v>
      </c>
      <c r="FU31" s="43">
        <v>0</v>
      </c>
      <c r="FV31" s="43">
        <v>0</v>
      </c>
      <c r="FW31" s="43">
        <v>0</v>
      </c>
      <c r="FX31" s="43">
        <v>0</v>
      </c>
      <c r="FY31" s="43">
        <v>0</v>
      </c>
      <c r="FZ31" s="43">
        <v>1.5177065767300001E-3</v>
      </c>
      <c r="GA31" s="43">
        <v>0</v>
      </c>
      <c r="GB31" s="43">
        <v>0</v>
      </c>
      <c r="GC31" s="43">
        <v>1.7537942664400001E-2</v>
      </c>
      <c r="GD31" s="43">
        <v>0</v>
      </c>
    </row>
    <row r="32" spans="1:186" ht="16.5" x14ac:dyDescent="0.3">
      <c r="A32" s="21" t="s">
        <v>275</v>
      </c>
      <c r="B32" s="22" t="s">
        <v>1</v>
      </c>
      <c r="C32" s="23">
        <v>11.67</v>
      </c>
      <c r="D32" s="23" t="s">
        <v>195</v>
      </c>
      <c r="E32" s="24" t="s">
        <v>243</v>
      </c>
      <c r="F32" s="25" t="s">
        <v>276</v>
      </c>
      <c r="G32" s="26" t="s">
        <v>1</v>
      </c>
      <c r="H32" s="51" t="s">
        <v>243</v>
      </c>
      <c r="I32" s="52">
        <v>12</v>
      </c>
      <c r="J32" s="52">
        <v>159</v>
      </c>
      <c r="K32" s="52">
        <v>53</v>
      </c>
      <c r="L32" s="53">
        <f t="shared" si="13"/>
        <v>20.964360587002094</v>
      </c>
      <c r="M32" s="54">
        <v>80</v>
      </c>
      <c r="N32" s="30" t="s">
        <v>186</v>
      </c>
      <c r="O32" s="30" t="s">
        <v>186</v>
      </c>
      <c r="P32" s="30" t="s">
        <v>186</v>
      </c>
      <c r="Q32" s="30" t="s">
        <v>186</v>
      </c>
      <c r="R32" s="30" t="s">
        <v>186</v>
      </c>
      <c r="S32" s="31" t="s">
        <v>186</v>
      </c>
      <c r="T32" s="30" t="s">
        <v>186</v>
      </c>
      <c r="U32" s="30" t="s">
        <v>277</v>
      </c>
      <c r="V32" s="30" t="s">
        <v>207</v>
      </c>
      <c r="W32" s="30" t="s">
        <v>186</v>
      </c>
      <c r="X32" s="25">
        <v>3971.6333954007509</v>
      </c>
      <c r="Y32" s="25">
        <v>893.55061361291575</v>
      </c>
      <c r="Z32" s="25">
        <v>163.74053224090454</v>
      </c>
      <c r="AA32" s="25">
        <v>4904.3876154341506</v>
      </c>
      <c r="AB32" s="25">
        <v>83.566826715059264</v>
      </c>
      <c r="AC32" s="25">
        <v>104.80839596104646</v>
      </c>
      <c r="AD32" s="32">
        <v>77.849999999999994</v>
      </c>
      <c r="AE32" s="55">
        <v>16</v>
      </c>
      <c r="AF32" s="23" t="s">
        <v>195</v>
      </c>
      <c r="AG32" s="33">
        <v>58.1</v>
      </c>
      <c r="AH32" s="33">
        <v>13.9</v>
      </c>
      <c r="AI32" s="34">
        <f t="shared" si="9"/>
        <v>27.538726333907054</v>
      </c>
      <c r="AJ32" s="34">
        <f t="shared" si="10"/>
        <v>115.10791366906474</v>
      </c>
      <c r="AK32" s="56">
        <v>58.1</v>
      </c>
      <c r="AL32" s="36">
        <f t="shared" si="11"/>
        <v>27.538726333907054</v>
      </c>
      <c r="AM32" s="37">
        <v>13.9</v>
      </c>
      <c r="AN32" s="38">
        <f t="shared" si="12"/>
        <v>115.10791366906474</v>
      </c>
      <c r="AO32" s="39">
        <v>1527326.47440424</v>
      </c>
      <c r="AP32" s="39">
        <v>288578934.531874</v>
      </c>
      <c r="AQ32" s="39">
        <v>3755690.7231887202</v>
      </c>
      <c r="AR32" s="39">
        <v>52944102.702114403</v>
      </c>
      <c r="AT32" s="47">
        <v>2.46205733558E-2</v>
      </c>
      <c r="AU32" s="47">
        <v>0.78347386172</v>
      </c>
      <c r="AV32" s="47">
        <v>2.6138279932500001E-2</v>
      </c>
      <c r="AW32" s="47">
        <v>6.2225969645899999E-2</v>
      </c>
      <c r="AX32" s="47">
        <v>0</v>
      </c>
      <c r="AY32" s="47">
        <v>0.103541315346</v>
      </c>
      <c r="AZ32" s="47">
        <v>0</v>
      </c>
      <c r="BA32" s="47">
        <v>0</v>
      </c>
      <c r="BB32" s="47">
        <v>0</v>
      </c>
      <c r="BC32" s="47">
        <v>0</v>
      </c>
      <c r="BD32" s="47">
        <v>0</v>
      </c>
      <c r="BE32" s="47">
        <v>0</v>
      </c>
      <c r="BF32" s="47">
        <v>0</v>
      </c>
      <c r="BG32" s="48"/>
      <c r="BH32" s="43">
        <v>0</v>
      </c>
      <c r="BI32" s="43">
        <v>0</v>
      </c>
      <c r="BJ32" s="43">
        <v>0</v>
      </c>
      <c r="BK32" s="43">
        <v>0</v>
      </c>
      <c r="BL32" s="43">
        <v>0</v>
      </c>
      <c r="BM32" s="43">
        <v>0</v>
      </c>
      <c r="BN32" s="43">
        <v>0</v>
      </c>
      <c r="BO32" s="43">
        <v>0</v>
      </c>
      <c r="BP32" s="43">
        <v>0</v>
      </c>
      <c r="BQ32" s="43">
        <v>0</v>
      </c>
      <c r="BR32" s="43">
        <v>0</v>
      </c>
      <c r="BS32" s="43">
        <v>0</v>
      </c>
      <c r="BT32" s="43">
        <v>9.32546374368E-2</v>
      </c>
      <c r="BU32" s="43">
        <v>0</v>
      </c>
      <c r="BV32" s="43">
        <v>1.02866779089E-2</v>
      </c>
      <c r="BW32" s="43">
        <v>0</v>
      </c>
      <c r="BX32" s="43">
        <v>0</v>
      </c>
      <c r="BY32" s="43">
        <v>0</v>
      </c>
      <c r="BZ32" s="43">
        <v>0</v>
      </c>
      <c r="CA32" s="43">
        <v>0</v>
      </c>
      <c r="CB32" s="43">
        <v>6.1720067453600001E-2</v>
      </c>
      <c r="CC32" s="43">
        <v>0</v>
      </c>
      <c r="CD32" s="43">
        <v>0</v>
      </c>
      <c r="CE32" s="43">
        <v>0</v>
      </c>
      <c r="CF32" s="43">
        <v>0</v>
      </c>
      <c r="CG32" s="43">
        <v>0</v>
      </c>
      <c r="CH32" s="43">
        <v>0</v>
      </c>
      <c r="CI32" s="43">
        <v>0</v>
      </c>
      <c r="CJ32" s="43">
        <v>0</v>
      </c>
      <c r="CK32" s="43">
        <v>5.0590219224299997E-4</v>
      </c>
      <c r="CL32" s="43">
        <v>0</v>
      </c>
      <c r="CM32" s="43">
        <v>0</v>
      </c>
      <c r="CN32" s="43">
        <v>0</v>
      </c>
      <c r="CO32" s="43">
        <v>0</v>
      </c>
      <c r="CP32" s="43">
        <v>0</v>
      </c>
      <c r="CQ32" s="43">
        <v>0</v>
      </c>
      <c r="CR32" s="43">
        <v>0</v>
      </c>
      <c r="CS32" s="43">
        <v>0</v>
      </c>
      <c r="CT32" s="43">
        <v>0</v>
      </c>
      <c r="CU32" s="43">
        <v>0</v>
      </c>
      <c r="CV32" s="43">
        <v>0</v>
      </c>
      <c r="CW32" s="43">
        <v>0</v>
      </c>
      <c r="CX32" s="43">
        <v>0</v>
      </c>
      <c r="CY32" s="43">
        <v>0</v>
      </c>
      <c r="CZ32" s="43">
        <v>0</v>
      </c>
      <c r="DA32" s="43">
        <v>0</v>
      </c>
      <c r="DB32" s="43">
        <v>0</v>
      </c>
      <c r="DC32" s="43">
        <v>0</v>
      </c>
      <c r="DD32" s="43">
        <v>3.37268128162E-4</v>
      </c>
      <c r="DE32" s="43">
        <v>0</v>
      </c>
      <c r="DF32" s="43">
        <v>0</v>
      </c>
      <c r="DG32" s="43">
        <v>7.1669477234399995E-2</v>
      </c>
      <c r="DH32" s="43">
        <v>0</v>
      </c>
      <c r="DI32" s="43">
        <v>0</v>
      </c>
      <c r="DJ32" s="43">
        <v>0</v>
      </c>
      <c r="DK32" s="43">
        <v>1.95615514334E-2</v>
      </c>
      <c r="DL32" s="43">
        <v>1.01180438449E-3</v>
      </c>
      <c r="DM32" s="43">
        <v>0</v>
      </c>
      <c r="DN32" s="43">
        <v>0</v>
      </c>
      <c r="DO32" s="43">
        <v>0</v>
      </c>
      <c r="DP32" s="43">
        <v>6.2394603709899996E-3</v>
      </c>
      <c r="DQ32" s="43">
        <v>8.2293423271499994E-2</v>
      </c>
      <c r="DR32" s="43">
        <v>0</v>
      </c>
      <c r="DS32" s="43">
        <v>0.16475548060699999</v>
      </c>
      <c r="DT32" s="43">
        <v>7.9258010117999999E-3</v>
      </c>
      <c r="DU32" s="43">
        <v>3.2040472175400001E-3</v>
      </c>
      <c r="DV32" s="43">
        <v>0</v>
      </c>
      <c r="DW32" s="43">
        <v>0</v>
      </c>
      <c r="DX32" s="43">
        <v>2.8667790893799998E-3</v>
      </c>
      <c r="DY32" s="43">
        <v>0</v>
      </c>
      <c r="DZ32" s="43">
        <v>0</v>
      </c>
      <c r="EA32" s="43">
        <v>0</v>
      </c>
      <c r="EB32" s="43">
        <v>0</v>
      </c>
      <c r="EC32" s="43">
        <v>6.74536256324E-4</v>
      </c>
      <c r="ED32" s="43">
        <v>5.88532883642E-2</v>
      </c>
      <c r="EE32" s="43">
        <v>0.220067453626</v>
      </c>
      <c r="EF32" s="43">
        <v>0</v>
      </c>
      <c r="EG32" s="43">
        <v>6.4755480607099999E-2</v>
      </c>
      <c r="EH32" s="43">
        <v>0</v>
      </c>
      <c r="EI32" s="43">
        <v>0</v>
      </c>
      <c r="EJ32" s="43">
        <v>0</v>
      </c>
      <c r="EK32" s="43">
        <v>0</v>
      </c>
      <c r="EL32" s="43">
        <v>0</v>
      </c>
      <c r="EM32" s="43">
        <v>0</v>
      </c>
      <c r="EN32" s="43">
        <v>2.3608768971300001E-3</v>
      </c>
      <c r="EO32" s="43">
        <v>0</v>
      </c>
      <c r="EP32" s="43">
        <v>0</v>
      </c>
      <c r="EQ32" s="43">
        <v>0</v>
      </c>
      <c r="ER32" s="43">
        <v>0</v>
      </c>
      <c r="ES32" s="43">
        <v>0</v>
      </c>
      <c r="ET32" s="43">
        <v>0</v>
      </c>
      <c r="EU32" s="43">
        <v>0</v>
      </c>
      <c r="EV32" s="43">
        <v>0</v>
      </c>
      <c r="EW32" s="43">
        <v>0</v>
      </c>
      <c r="EX32" s="43">
        <v>0</v>
      </c>
      <c r="EY32" s="43">
        <v>7.6897133220899999E-2</v>
      </c>
      <c r="EZ32" s="43">
        <v>0</v>
      </c>
      <c r="FA32" s="43">
        <v>0</v>
      </c>
      <c r="FB32" s="43">
        <v>0</v>
      </c>
      <c r="FC32" s="43">
        <v>0</v>
      </c>
      <c r="FD32" s="43">
        <v>0</v>
      </c>
      <c r="FE32" s="43">
        <v>0</v>
      </c>
      <c r="FF32" s="43">
        <v>0</v>
      </c>
      <c r="FG32" s="43">
        <v>0</v>
      </c>
      <c r="FH32" s="43">
        <v>0</v>
      </c>
      <c r="FI32" s="43">
        <v>0</v>
      </c>
      <c r="FJ32" s="43">
        <v>3.87858347386E-3</v>
      </c>
      <c r="FK32" s="43">
        <v>0</v>
      </c>
      <c r="FL32" s="43">
        <v>0</v>
      </c>
      <c r="FM32" s="43">
        <v>0</v>
      </c>
      <c r="FN32" s="43">
        <v>1.68634064081E-4</v>
      </c>
      <c r="FO32" s="43">
        <v>2.20910623946E-2</v>
      </c>
      <c r="FP32" s="43">
        <v>0</v>
      </c>
      <c r="FQ32" s="43">
        <v>0</v>
      </c>
      <c r="FR32" s="43">
        <v>0</v>
      </c>
      <c r="FS32" s="43">
        <v>0</v>
      </c>
      <c r="FT32" s="43">
        <v>0</v>
      </c>
      <c r="FU32" s="43">
        <v>0</v>
      </c>
      <c r="FV32" s="43">
        <v>0</v>
      </c>
      <c r="FW32" s="43">
        <v>0</v>
      </c>
      <c r="FX32" s="43">
        <v>0</v>
      </c>
      <c r="FY32" s="43">
        <v>0</v>
      </c>
      <c r="FZ32" s="43">
        <v>0</v>
      </c>
      <c r="GA32" s="43">
        <v>0</v>
      </c>
      <c r="GB32" s="43">
        <v>0</v>
      </c>
      <c r="GC32" s="43">
        <v>2.46205733558E-2</v>
      </c>
      <c r="GD32" s="43">
        <v>0</v>
      </c>
    </row>
    <row r="33" spans="1:186" ht="16.5" x14ac:dyDescent="0.3">
      <c r="A33" s="21" t="s">
        <v>278</v>
      </c>
      <c r="B33" s="22" t="s">
        <v>1</v>
      </c>
      <c r="C33" s="23">
        <v>7.08</v>
      </c>
      <c r="D33" s="23" t="s">
        <v>183</v>
      </c>
      <c r="E33" s="24" t="s">
        <v>184</v>
      </c>
      <c r="F33" s="25" t="s">
        <v>279</v>
      </c>
      <c r="G33" s="26" t="s">
        <v>1</v>
      </c>
      <c r="H33" s="26" t="s">
        <v>184</v>
      </c>
      <c r="I33" s="27">
        <v>7</v>
      </c>
      <c r="J33" s="27">
        <v>128</v>
      </c>
      <c r="K33" s="27">
        <v>27</v>
      </c>
      <c r="L33" s="28">
        <f t="shared" si="13"/>
        <v>16.4794921875</v>
      </c>
      <c r="M33" s="29">
        <v>72</v>
      </c>
      <c r="N33" s="30" t="s">
        <v>186</v>
      </c>
      <c r="O33" s="30" t="s">
        <v>186</v>
      </c>
      <c r="P33" s="30" t="s">
        <v>186</v>
      </c>
      <c r="Q33" s="30" t="s">
        <v>186</v>
      </c>
      <c r="R33" s="30" t="s">
        <v>186</v>
      </c>
      <c r="S33" s="31" t="s">
        <v>186</v>
      </c>
      <c r="T33" s="30" t="s">
        <v>186</v>
      </c>
      <c r="U33" s="30" t="s">
        <v>260</v>
      </c>
      <c r="V33" s="30" t="s">
        <v>186</v>
      </c>
      <c r="W33" s="30" t="s">
        <v>186</v>
      </c>
      <c r="X33" s="25">
        <v>1910.6811970503989</v>
      </c>
      <c r="Y33" s="25">
        <v>878.34570901371137</v>
      </c>
      <c r="Z33" s="25">
        <v>619.67889055698004</v>
      </c>
      <c r="AA33" s="25">
        <v>3111.1168027170038</v>
      </c>
      <c r="AB33" s="25">
        <v>573.37609852498167</v>
      </c>
      <c r="AC33" s="25">
        <v>589.04418614531892</v>
      </c>
      <c r="AD33" s="32">
        <v>130.19999999999999</v>
      </c>
      <c r="AE33" s="32">
        <v>21.105</v>
      </c>
      <c r="AF33" s="23" t="s">
        <v>183</v>
      </c>
      <c r="AG33" s="33">
        <v>142.85</v>
      </c>
      <c r="AH33" s="33">
        <v>18.2</v>
      </c>
      <c r="AI33" s="34">
        <f t="shared" si="9"/>
        <v>14.774238711935597</v>
      </c>
      <c r="AJ33" s="34">
        <f t="shared" si="10"/>
        <v>115.96153846153847</v>
      </c>
      <c r="AK33" s="35">
        <v>142.85</v>
      </c>
      <c r="AL33" s="36">
        <f t="shared" si="11"/>
        <v>14.774238711935597</v>
      </c>
      <c r="AM33" s="37">
        <v>18.2</v>
      </c>
      <c r="AN33" s="38">
        <f t="shared" si="12"/>
        <v>115.96153846153847</v>
      </c>
      <c r="AO33" s="39">
        <v>1019583.88001438</v>
      </c>
      <c r="AP33" s="39">
        <v>34219267.718788303</v>
      </c>
      <c r="AQ33" s="39">
        <v>2931680.0030324101</v>
      </c>
      <c r="AR33" s="39">
        <v>87640011.134447396</v>
      </c>
      <c r="AT33" s="47">
        <v>2.9005059021899999E-2</v>
      </c>
      <c r="AU33" s="47">
        <v>0.67200674536299998</v>
      </c>
      <c r="AV33" s="47">
        <v>8.4317032040500002E-4</v>
      </c>
      <c r="AW33" s="47">
        <v>3.70994940978E-3</v>
      </c>
      <c r="AX33" s="47">
        <v>0</v>
      </c>
      <c r="AY33" s="47">
        <v>0.29376053962900001</v>
      </c>
      <c r="AZ33" s="47">
        <v>0</v>
      </c>
      <c r="BA33" s="47">
        <v>0</v>
      </c>
      <c r="BB33" s="47">
        <v>6.74536256324E-4</v>
      </c>
      <c r="BC33" s="47">
        <v>0</v>
      </c>
      <c r="BD33" s="47">
        <v>0</v>
      </c>
      <c r="BE33" s="47">
        <v>0</v>
      </c>
      <c r="BF33" s="47">
        <v>0</v>
      </c>
      <c r="BG33" s="48"/>
      <c r="BH33" s="43">
        <v>6.74536256324E-4</v>
      </c>
      <c r="BI33" s="43">
        <v>0</v>
      </c>
      <c r="BJ33" s="43">
        <v>0</v>
      </c>
      <c r="BK33" s="43">
        <v>0</v>
      </c>
      <c r="BL33" s="43">
        <v>0</v>
      </c>
      <c r="BM33" s="43">
        <v>9.9494097807800008E-3</v>
      </c>
      <c r="BN33" s="43">
        <v>0</v>
      </c>
      <c r="BO33" s="43">
        <v>0</v>
      </c>
      <c r="BP33" s="43">
        <v>0</v>
      </c>
      <c r="BQ33" s="43">
        <v>0</v>
      </c>
      <c r="BR33" s="43">
        <v>0</v>
      </c>
      <c r="BS33" s="43">
        <v>0</v>
      </c>
      <c r="BT33" s="43">
        <v>0.13676222597000001</v>
      </c>
      <c r="BU33" s="43">
        <v>2.3102866779099999E-2</v>
      </c>
      <c r="BV33" s="43">
        <v>0</v>
      </c>
      <c r="BW33" s="43">
        <v>0</v>
      </c>
      <c r="BX33" s="43">
        <v>0.123946037099</v>
      </c>
      <c r="BY33" s="43">
        <v>0</v>
      </c>
      <c r="BZ33" s="43">
        <v>0</v>
      </c>
      <c r="CA33" s="43">
        <v>0</v>
      </c>
      <c r="CB33" s="43">
        <v>1.3490725126499999E-3</v>
      </c>
      <c r="CC33" s="43">
        <v>0</v>
      </c>
      <c r="CD33" s="43">
        <v>0</v>
      </c>
      <c r="CE33" s="43">
        <v>0</v>
      </c>
      <c r="CF33" s="43">
        <v>0</v>
      </c>
      <c r="CG33" s="43">
        <v>0</v>
      </c>
      <c r="CH33" s="43">
        <v>0</v>
      </c>
      <c r="CI33" s="43">
        <v>2.3608768971300001E-3</v>
      </c>
      <c r="CJ33" s="43">
        <v>0</v>
      </c>
      <c r="CK33" s="43">
        <v>0</v>
      </c>
      <c r="CL33" s="43">
        <v>0</v>
      </c>
      <c r="CM33" s="43">
        <v>0</v>
      </c>
      <c r="CN33" s="43">
        <v>0</v>
      </c>
      <c r="CO33" s="43">
        <v>0</v>
      </c>
      <c r="CP33" s="43">
        <v>0</v>
      </c>
      <c r="CQ33" s="43">
        <v>0</v>
      </c>
      <c r="CR33" s="43">
        <v>0</v>
      </c>
      <c r="CS33" s="43">
        <v>0</v>
      </c>
      <c r="CT33" s="43">
        <v>0</v>
      </c>
      <c r="CU33" s="43">
        <v>0</v>
      </c>
      <c r="CV33" s="43">
        <v>0</v>
      </c>
      <c r="CW33" s="43">
        <v>0</v>
      </c>
      <c r="CX33" s="43">
        <v>0</v>
      </c>
      <c r="CY33" s="43">
        <v>0</v>
      </c>
      <c r="CZ33" s="43">
        <v>0</v>
      </c>
      <c r="DA33" s="43">
        <v>0</v>
      </c>
      <c r="DB33" s="43">
        <v>3.2040472175400001E-3</v>
      </c>
      <c r="DC33" s="43">
        <v>0</v>
      </c>
      <c r="DD33" s="43">
        <v>2.19224283305E-2</v>
      </c>
      <c r="DE33" s="43">
        <v>1.23102866779E-2</v>
      </c>
      <c r="DF33" s="43">
        <v>0</v>
      </c>
      <c r="DG33" s="43">
        <v>5.9190556492400001E-2</v>
      </c>
      <c r="DH33" s="43">
        <v>0</v>
      </c>
      <c r="DI33" s="43">
        <v>0</v>
      </c>
      <c r="DJ33" s="43">
        <v>0</v>
      </c>
      <c r="DK33" s="43">
        <v>0</v>
      </c>
      <c r="DL33" s="43">
        <v>0</v>
      </c>
      <c r="DM33" s="43">
        <v>0</v>
      </c>
      <c r="DN33" s="43">
        <v>0</v>
      </c>
      <c r="DO33" s="43">
        <v>0</v>
      </c>
      <c r="DP33" s="43">
        <v>0</v>
      </c>
      <c r="DQ33" s="43">
        <v>5.16020236088E-2</v>
      </c>
      <c r="DR33" s="43">
        <v>0</v>
      </c>
      <c r="DS33" s="43">
        <v>0.117200674536</v>
      </c>
      <c r="DT33" s="43">
        <v>1.6526138279900002E-2</v>
      </c>
      <c r="DU33" s="43">
        <v>3.37268128162E-4</v>
      </c>
      <c r="DV33" s="43">
        <v>0</v>
      </c>
      <c r="DW33" s="43">
        <v>0</v>
      </c>
      <c r="DX33" s="43">
        <v>0</v>
      </c>
      <c r="DY33" s="43">
        <v>0</v>
      </c>
      <c r="DZ33" s="43">
        <v>0</v>
      </c>
      <c r="EA33" s="43">
        <v>0</v>
      </c>
      <c r="EB33" s="43">
        <v>0.14553119730200001</v>
      </c>
      <c r="EC33" s="43">
        <v>0</v>
      </c>
      <c r="ED33" s="43">
        <v>6.9477234401300006E-2</v>
      </c>
      <c r="EE33" s="43">
        <v>0</v>
      </c>
      <c r="EF33" s="43">
        <v>5.0590219224299999E-3</v>
      </c>
      <c r="EG33" s="43">
        <v>6.0033726812800003E-2</v>
      </c>
      <c r="EH33" s="43">
        <v>0</v>
      </c>
      <c r="EI33" s="43">
        <v>0</v>
      </c>
      <c r="EJ33" s="43">
        <v>0</v>
      </c>
      <c r="EK33" s="43">
        <v>0</v>
      </c>
      <c r="EL33" s="43">
        <v>0</v>
      </c>
      <c r="EM33" s="43">
        <v>0</v>
      </c>
      <c r="EN33" s="43">
        <v>0</v>
      </c>
      <c r="EO33" s="43">
        <v>0</v>
      </c>
      <c r="EP33" s="43">
        <v>3.3726812816199998E-2</v>
      </c>
      <c r="EQ33" s="43">
        <v>0</v>
      </c>
      <c r="ER33" s="43">
        <v>0</v>
      </c>
      <c r="ES33" s="43">
        <v>0</v>
      </c>
      <c r="ET33" s="43">
        <v>0</v>
      </c>
      <c r="EU33" s="43">
        <v>5.0590219224299997E-4</v>
      </c>
      <c r="EV33" s="43">
        <v>0</v>
      </c>
      <c r="EW33" s="43">
        <v>3.37268128162E-4</v>
      </c>
      <c r="EX33" s="43">
        <v>0</v>
      </c>
      <c r="EY33" s="43">
        <v>6.9477234401300006E-2</v>
      </c>
      <c r="EZ33" s="43">
        <v>0</v>
      </c>
      <c r="FA33" s="43">
        <v>2.0236087689700002E-3</v>
      </c>
      <c r="FB33" s="43">
        <v>0</v>
      </c>
      <c r="FC33" s="43">
        <v>3.5413153457000001E-3</v>
      </c>
      <c r="FD33" s="43">
        <v>0</v>
      </c>
      <c r="FE33" s="43">
        <v>0</v>
      </c>
      <c r="FF33" s="43">
        <v>0</v>
      </c>
      <c r="FG33" s="43">
        <v>0</v>
      </c>
      <c r="FH33" s="43">
        <v>0</v>
      </c>
      <c r="FI33" s="43">
        <v>0</v>
      </c>
      <c r="FJ33" s="43">
        <v>0</v>
      </c>
      <c r="FK33" s="43">
        <v>0</v>
      </c>
      <c r="FL33" s="43">
        <v>0</v>
      </c>
      <c r="FM33" s="43">
        <v>0</v>
      </c>
      <c r="FN33" s="43">
        <v>0</v>
      </c>
      <c r="FO33" s="43">
        <v>8.4317032040500002E-4</v>
      </c>
      <c r="FP33" s="43">
        <v>0</v>
      </c>
      <c r="FQ33" s="43">
        <v>0</v>
      </c>
      <c r="FR33" s="43">
        <v>0</v>
      </c>
      <c r="FS33" s="43">
        <v>0</v>
      </c>
      <c r="FT33" s="43">
        <v>0</v>
      </c>
      <c r="FU33" s="43">
        <v>0</v>
      </c>
      <c r="FV33" s="43">
        <v>0</v>
      </c>
      <c r="FW33" s="43">
        <v>0</v>
      </c>
      <c r="FX33" s="43">
        <v>0</v>
      </c>
      <c r="FY33" s="43">
        <v>0</v>
      </c>
      <c r="FZ33" s="43">
        <v>0</v>
      </c>
      <c r="GA33" s="43">
        <v>0</v>
      </c>
      <c r="GB33" s="43">
        <v>0</v>
      </c>
      <c r="GC33" s="43">
        <v>2.9005059021899999E-2</v>
      </c>
      <c r="GD33" s="43">
        <v>0</v>
      </c>
    </row>
    <row r="34" spans="1:186" ht="16.5" x14ac:dyDescent="0.3">
      <c r="A34" s="21" t="s">
        <v>280</v>
      </c>
      <c r="B34" s="22" t="s">
        <v>1</v>
      </c>
      <c r="C34" s="23">
        <v>8.92</v>
      </c>
      <c r="D34" s="23" t="s">
        <v>183</v>
      </c>
      <c r="E34" s="24" t="s">
        <v>243</v>
      </c>
      <c r="F34" s="25" t="s">
        <v>281</v>
      </c>
      <c r="G34" s="26" t="s">
        <v>1</v>
      </c>
      <c r="H34" s="51" t="s">
        <v>243</v>
      </c>
      <c r="I34" s="52">
        <v>9</v>
      </c>
      <c r="J34" s="52">
        <v>140</v>
      </c>
      <c r="K34" s="52">
        <v>30</v>
      </c>
      <c r="L34" s="53">
        <f t="shared" si="13"/>
        <v>15.306122448979593</v>
      </c>
      <c r="M34" s="54">
        <v>30</v>
      </c>
      <c r="N34" s="30" t="s">
        <v>186</v>
      </c>
      <c r="O34" s="30" t="s">
        <v>186</v>
      </c>
      <c r="P34" s="30" t="s">
        <v>186</v>
      </c>
      <c r="Q34" s="30" t="s">
        <v>186</v>
      </c>
      <c r="R34" s="30" t="s">
        <v>186</v>
      </c>
      <c r="S34" s="31" t="s">
        <v>186</v>
      </c>
      <c r="T34" s="30" t="s">
        <v>186</v>
      </c>
      <c r="U34" s="30" t="s">
        <v>186</v>
      </c>
      <c r="V34" s="30" t="s">
        <v>186</v>
      </c>
      <c r="W34" s="30" t="s">
        <v>186</v>
      </c>
      <c r="X34" s="25">
        <v>1818.9619563641529</v>
      </c>
      <c r="Y34" s="25">
        <v>1041.3104329891773</v>
      </c>
      <c r="Z34" s="25">
        <v>968.58654892828054</v>
      </c>
      <c r="AA34" s="25">
        <v>4497.0258128656933</v>
      </c>
      <c r="AB34" s="25">
        <v>977.71489808890703</v>
      </c>
      <c r="AC34" s="25">
        <v>90.497514513183162</v>
      </c>
      <c r="AD34" s="45">
        <v>800</v>
      </c>
      <c r="AE34" s="32">
        <v>251.3</v>
      </c>
      <c r="AF34" s="23" t="s">
        <v>183</v>
      </c>
      <c r="AG34" s="33">
        <v>99.68</v>
      </c>
      <c r="AH34" s="33">
        <v>16.399999999999999</v>
      </c>
      <c r="AI34" s="34">
        <f t="shared" si="9"/>
        <v>252.10674157303373</v>
      </c>
      <c r="AJ34" s="34">
        <f t="shared" si="10"/>
        <v>1532.3170731707319</v>
      </c>
      <c r="AK34" s="35">
        <v>99.68</v>
      </c>
      <c r="AL34" s="36">
        <f t="shared" si="11"/>
        <v>252.10674157303373</v>
      </c>
      <c r="AM34" s="37">
        <v>16.399999999999999</v>
      </c>
      <c r="AN34" s="38">
        <f t="shared" si="12"/>
        <v>1532.3170731707319</v>
      </c>
      <c r="AO34" s="39">
        <v>2828131.95541025</v>
      </c>
      <c r="AP34" s="39">
        <v>9427493.0388032198</v>
      </c>
      <c r="AQ34" s="39">
        <v>2069382.3593746901</v>
      </c>
      <c r="AR34" s="39">
        <v>25947740.758968402</v>
      </c>
      <c r="AT34" s="47">
        <v>0</v>
      </c>
      <c r="AU34" s="47">
        <v>0.54586846543</v>
      </c>
      <c r="AV34" s="47">
        <v>0</v>
      </c>
      <c r="AW34" s="47">
        <v>7.7571669477199999E-3</v>
      </c>
      <c r="AX34" s="47">
        <v>0</v>
      </c>
      <c r="AY34" s="47">
        <v>0.446374367622</v>
      </c>
      <c r="AZ34" s="47">
        <v>0</v>
      </c>
      <c r="BA34" s="47">
        <v>0</v>
      </c>
      <c r="BB34" s="47">
        <v>0</v>
      </c>
      <c r="BC34" s="47">
        <v>0</v>
      </c>
      <c r="BD34" s="47">
        <v>0</v>
      </c>
      <c r="BE34" s="47">
        <v>0</v>
      </c>
      <c r="BF34" s="47">
        <v>0</v>
      </c>
      <c r="BG34" s="48"/>
      <c r="BH34" s="43">
        <v>0</v>
      </c>
      <c r="BI34" s="43">
        <v>0</v>
      </c>
      <c r="BJ34" s="43">
        <v>0</v>
      </c>
      <c r="BK34" s="43">
        <v>0</v>
      </c>
      <c r="BL34" s="43">
        <v>0</v>
      </c>
      <c r="BM34" s="43">
        <v>0</v>
      </c>
      <c r="BN34" s="43">
        <v>0</v>
      </c>
      <c r="BO34" s="43">
        <v>0</v>
      </c>
      <c r="BP34" s="43">
        <v>0</v>
      </c>
      <c r="BQ34" s="43">
        <v>0</v>
      </c>
      <c r="BR34" s="43">
        <v>0</v>
      </c>
      <c r="BS34" s="43">
        <v>0</v>
      </c>
      <c r="BT34" s="43">
        <v>0.39730185497499998</v>
      </c>
      <c r="BU34" s="43">
        <v>0</v>
      </c>
      <c r="BV34" s="43">
        <v>0</v>
      </c>
      <c r="BW34" s="43">
        <v>8.6003372681300004E-3</v>
      </c>
      <c r="BX34" s="43">
        <v>4.0472175379399997E-2</v>
      </c>
      <c r="BY34" s="43">
        <v>0</v>
      </c>
      <c r="BZ34" s="43">
        <v>0</v>
      </c>
      <c r="CA34" s="43">
        <v>0</v>
      </c>
      <c r="CB34" s="43">
        <v>2.1922428330500001E-3</v>
      </c>
      <c r="CC34" s="43">
        <v>8.4317032040500002E-4</v>
      </c>
      <c r="CD34" s="43">
        <v>0</v>
      </c>
      <c r="CE34" s="43">
        <v>0</v>
      </c>
      <c r="CF34" s="43">
        <v>0</v>
      </c>
      <c r="CG34" s="43">
        <v>4.72175379427E-3</v>
      </c>
      <c r="CH34" s="43">
        <v>0</v>
      </c>
      <c r="CI34" s="43">
        <v>0</v>
      </c>
      <c r="CJ34" s="43">
        <v>0</v>
      </c>
      <c r="CK34" s="43">
        <v>0</v>
      </c>
      <c r="CL34" s="43">
        <v>0</v>
      </c>
      <c r="CM34" s="43">
        <v>0</v>
      </c>
      <c r="CN34" s="43">
        <v>0</v>
      </c>
      <c r="CO34" s="43">
        <v>0</v>
      </c>
      <c r="CP34" s="43">
        <v>0</v>
      </c>
      <c r="CQ34" s="43">
        <v>0</v>
      </c>
      <c r="CR34" s="43">
        <v>0</v>
      </c>
      <c r="CS34" s="43">
        <v>3.37268128162E-4</v>
      </c>
      <c r="CT34" s="43">
        <v>0</v>
      </c>
      <c r="CU34" s="43">
        <v>0</v>
      </c>
      <c r="CV34" s="43">
        <v>0</v>
      </c>
      <c r="CW34" s="43">
        <v>0</v>
      </c>
      <c r="CX34" s="43">
        <v>0</v>
      </c>
      <c r="CY34" s="43">
        <v>0</v>
      </c>
      <c r="CZ34" s="43">
        <v>3.37268128162E-4</v>
      </c>
      <c r="DA34" s="43">
        <v>0</v>
      </c>
      <c r="DB34" s="43">
        <v>0</v>
      </c>
      <c r="DC34" s="43">
        <v>0</v>
      </c>
      <c r="DD34" s="43">
        <v>1.1298482293400001E-2</v>
      </c>
      <c r="DE34" s="43">
        <v>1.1298482293400001E-2</v>
      </c>
      <c r="DF34" s="43">
        <v>0</v>
      </c>
      <c r="DG34" s="43">
        <v>7.0151770657699994E-2</v>
      </c>
      <c r="DH34" s="43">
        <v>1.68634064081E-4</v>
      </c>
      <c r="DI34" s="43">
        <v>0</v>
      </c>
      <c r="DJ34" s="43">
        <v>4.5362563237799997E-2</v>
      </c>
      <c r="DK34" s="43">
        <v>0</v>
      </c>
      <c r="DL34" s="43">
        <v>0</v>
      </c>
      <c r="DM34" s="43">
        <v>0</v>
      </c>
      <c r="DN34" s="43">
        <v>0</v>
      </c>
      <c r="DO34" s="43">
        <v>0</v>
      </c>
      <c r="DP34" s="43">
        <v>0</v>
      </c>
      <c r="DQ34" s="43">
        <v>7.5885328836400007E-2</v>
      </c>
      <c r="DR34" s="43">
        <v>0</v>
      </c>
      <c r="DS34" s="43">
        <v>9.4097807757200003E-2</v>
      </c>
      <c r="DT34" s="43">
        <v>8.9376053962900003E-3</v>
      </c>
      <c r="DU34" s="43">
        <v>1.0792580101199999E-2</v>
      </c>
      <c r="DV34" s="43">
        <v>0</v>
      </c>
      <c r="DW34" s="43">
        <v>0</v>
      </c>
      <c r="DX34" s="43">
        <v>0</v>
      </c>
      <c r="DY34" s="43">
        <v>0</v>
      </c>
      <c r="DZ34" s="43">
        <v>6.74536256324E-4</v>
      </c>
      <c r="EA34" s="43">
        <v>0</v>
      </c>
      <c r="EB34" s="43">
        <v>0.119224283305</v>
      </c>
      <c r="EC34" s="43">
        <v>0</v>
      </c>
      <c r="ED34" s="43">
        <v>2.6475548060699999E-2</v>
      </c>
      <c r="EE34" s="43">
        <v>0</v>
      </c>
      <c r="EF34" s="43">
        <v>0</v>
      </c>
      <c r="EG34" s="43">
        <v>1.8887015177100001E-2</v>
      </c>
      <c r="EH34" s="43">
        <v>0</v>
      </c>
      <c r="EI34" s="43">
        <v>0</v>
      </c>
      <c r="EJ34" s="43">
        <v>0</v>
      </c>
      <c r="EK34" s="43">
        <v>0</v>
      </c>
      <c r="EL34" s="43">
        <v>0</v>
      </c>
      <c r="EM34" s="43">
        <v>0</v>
      </c>
      <c r="EN34" s="43">
        <v>0</v>
      </c>
      <c r="EO34" s="43">
        <v>0</v>
      </c>
      <c r="EP34" s="43">
        <v>2.5969645868500001E-2</v>
      </c>
      <c r="EQ34" s="43">
        <v>0</v>
      </c>
      <c r="ER34" s="43">
        <v>0</v>
      </c>
      <c r="ES34" s="43">
        <v>0</v>
      </c>
      <c r="ET34" s="43">
        <v>2.3608768971300001E-3</v>
      </c>
      <c r="EU34" s="43">
        <v>0</v>
      </c>
      <c r="EV34" s="43">
        <v>0</v>
      </c>
      <c r="EW34" s="43">
        <v>0</v>
      </c>
      <c r="EX34" s="43">
        <v>0</v>
      </c>
      <c r="EY34" s="43">
        <v>2.3608768971300001E-2</v>
      </c>
      <c r="EZ34" s="43">
        <v>0</v>
      </c>
      <c r="FA34" s="43">
        <v>0</v>
      </c>
      <c r="FB34" s="43">
        <v>0</v>
      </c>
      <c r="FC34" s="43">
        <v>0</v>
      </c>
      <c r="FD34" s="43">
        <v>0</v>
      </c>
      <c r="FE34" s="43">
        <v>0</v>
      </c>
      <c r="FF34" s="43">
        <v>0</v>
      </c>
      <c r="FG34" s="43">
        <v>0</v>
      </c>
      <c r="FH34" s="43">
        <v>0</v>
      </c>
      <c r="FI34" s="43">
        <v>0</v>
      </c>
      <c r="FJ34" s="43">
        <v>0</v>
      </c>
      <c r="FK34" s="43">
        <v>0</v>
      </c>
      <c r="FL34" s="43">
        <v>0</v>
      </c>
      <c r="FM34" s="43">
        <v>0</v>
      </c>
      <c r="FN34" s="43">
        <v>0</v>
      </c>
      <c r="FO34" s="43">
        <v>0</v>
      </c>
      <c r="FP34" s="43">
        <v>0</v>
      </c>
      <c r="FQ34" s="43">
        <v>0</v>
      </c>
      <c r="FR34" s="43">
        <v>0</v>
      </c>
      <c r="FS34" s="43">
        <v>0</v>
      </c>
      <c r="FT34" s="43">
        <v>0</v>
      </c>
      <c r="FU34" s="43">
        <v>0</v>
      </c>
      <c r="FV34" s="43">
        <v>0</v>
      </c>
      <c r="FW34" s="43">
        <v>0</v>
      </c>
      <c r="FX34" s="43">
        <v>0</v>
      </c>
      <c r="FY34" s="43">
        <v>0</v>
      </c>
      <c r="FZ34" s="43">
        <v>0</v>
      </c>
      <c r="GA34" s="43">
        <v>0</v>
      </c>
      <c r="GB34" s="43">
        <v>0</v>
      </c>
      <c r="GC34" s="43">
        <v>0</v>
      </c>
      <c r="GD34" s="43">
        <v>0</v>
      </c>
    </row>
    <row r="35" spans="1:186" ht="16.5" x14ac:dyDescent="0.3">
      <c r="A35" s="21" t="s">
        <v>282</v>
      </c>
      <c r="B35" s="22" t="s">
        <v>1</v>
      </c>
      <c r="C35" s="23">
        <v>14.33</v>
      </c>
      <c r="D35" s="23" t="s">
        <v>195</v>
      </c>
      <c r="E35" s="24" t="s">
        <v>184</v>
      </c>
      <c r="F35" s="25" t="s">
        <v>283</v>
      </c>
      <c r="G35" s="26" t="s">
        <v>1</v>
      </c>
      <c r="H35" s="26" t="s">
        <v>184</v>
      </c>
      <c r="I35" s="27">
        <v>14</v>
      </c>
      <c r="J35" s="27">
        <v>165</v>
      </c>
      <c r="K35" s="27">
        <v>52</v>
      </c>
      <c r="L35" s="28">
        <f t="shared" si="13"/>
        <v>19.100091827364558</v>
      </c>
      <c r="M35" s="29">
        <v>49</v>
      </c>
      <c r="N35" s="30" t="s">
        <v>186</v>
      </c>
      <c r="O35" s="30" t="s">
        <v>186</v>
      </c>
      <c r="P35" s="30" t="s">
        <v>186</v>
      </c>
      <c r="Q35" s="30" t="s">
        <v>186</v>
      </c>
      <c r="R35" s="30" t="s">
        <v>186</v>
      </c>
      <c r="S35" s="31" t="s">
        <v>186</v>
      </c>
      <c r="T35" s="30" t="s">
        <v>186</v>
      </c>
      <c r="U35" s="30" t="s">
        <v>186</v>
      </c>
      <c r="V35" s="30" t="s">
        <v>186</v>
      </c>
      <c r="W35" s="30" t="s">
        <v>186</v>
      </c>
      <c r="X35" s="25">
        <v>991.09561674053236</v>
      </c>
      <c r="Y35" s="25">
        <v>458.1247288329796</v>
      </c>
      <c r="Z35" s="25">
        <v>458.05875833148048</v>
      </c>
      <c r="AA35" s="25">
        <v>1952.2047871542973</v>
      </c>
      <c r="AB35" s="25">
        <v>441.20637686546695</v>
      </c>
      <c r="AC35" s="25">
        <v>548.28494684898874</v>
      </c>
      <c r="AD35" s="32">
        <v>167.9</v>
      </c>
      <c r="AE35" s="32">
        <v>70.915000000000006</v>
      </c>
      <c r="AF35" s="23" t="s">
        <v>195</v>
      </c>
      <c r="AG35" s="33">
        <v>54.4</v>
      </c>
      <c r="AH35" s="33">
        <v>13.9</v>
      </c>
      <c r="AI35" s="34">
        <f t="shared" si="9"/>
        <v>130.35845588235296</v>
      </c>
      <c r="AJ35" s="34">
        <f t="shared" si="10"/>
        <v>510.17985611510801</v>
      </c>
      <c r="AK35" s="35">
        <v>54.4</v>
      </c>
      <c r="AL35" s="36">
        <f t="shared" si="11"/>
        <v>130.35845588235296</v>
      </c>
      <c r="AM35" s="37">
        <v>13.9</v>
      </c>
      <c r="AN35" s="38">
        <f t="shared" si="12"/>
        <v>510.17985611510801</v>
      </c>
      <c r="AO35" s="39">
        <v>2211499.1009852099</v>
      </c>
      <c r="AP35" s="39">
        <v>5944319.76063143</v>
      </c>
      <c r="AQ35" s="39">
        <v>14478832.131067101</v>
      </c>
      <c r="AR35" s="39">
        <v>19569476.824636102</v>
      </c>
      <c r="AT35" s="47">
        <v>4.7554806070800003E-2</v>
      </c>
      <c r="AU35" s="47">
        <v>0.71467116357500005</v>
      </c>
      <c r="AV35" s="47">
        <v>6.74536256324E-4</v>
      </c>
      <c r="AW35" s="47">
        <v>4.55311973019E-3</v>
      </c>
      <c r="AX35" s="47">
        <v>5.0590219224299997E-4</v>
      </c>
      <c r="AY35" s="47">
        <v>0.23035413153500001</v>
      </c>
      <c r="AZ35" s="47">
        <v>0</v>
      </c>
      <c r="BA35" s="47">
        <v>1.68634064081E-3</v>
      </c>
      <c r="BB35" s="47">
        <v>0</v>
      </c>
      <c r="BC35" s="47">
        <v>0</v>
      </c>
      <c r="BD35" s="47">
        <v>0</v>
      </c>
      <c r="BE35" s="47">
        <v>0</v>
      </c>
      <c r="BF35" s="47">
        <v>0</v>
      </c>
      <c r="BG35" s="48"/>
      <c r="BH35" s="43">
        <v>0</v>
      </c>
      <c r="BI35" s="43">
        <v>0</v>
      </c>
      <c r="BJ35" s="43">
        <v>0</v>
      </c>
      <c r="BK35" s="43">
        <v>0</v>
      </c>
      <c r="BL35" s="43">
        <v>0</v>
      </c>
      <c r="BM35" s="43">
        <v>0</v>
      </c>
      <c r="BN35" s="43">
        <v>0</v>
      </c>
      <c r="BO35" s="43">
        <v>0</v>
      </c>
      <c r="BP35" s="43">
        <v>1.5177065767300001E-3</v>
      </c>
      <c r="BQ35" s="43">
        <v>0</v>
      </c>
      <c r="BR35" s="43">
        <v>0</v>
      </c>
      <c r="BS35" s="43">
        <v>0</v>
      </c>
      <c r="BT35" s="43">
        <v>0.10505902192200001</v>
      </c>
      <c r="BU35" s="43">
        <v>5.9021922428299997E-3</v>
      </c>
      <c r="BV35" s="43">
        <v>3.7436762226000002E-2</v>
      </c>
      <c r="BW35" s="43">
        <v>5.0590219224299999E-3</v>
      </c>
      <c r="BX35" s="43">
        <v>7.5379426644199998E-2</v>
      </c>
      <c r="BY35" s="43">
        <v>0</v>
      </c>
      <c r="BZ35" s="43">
        <v>0</v>
      </c>
      <c r="CA35" s="43">
        <v>0</v>
      </c>
      <c r="CB35" s="43">
        <v>3.0354131534600002E-3</v>
      </c>
      <c r="CC35" s="43">
        <v>0</v>
      </c>
      <c r="CD35" s="43">
        <v>0</v>
      </c>
      <c r="CE35" s="43">
        <v>0</v>
      </c>
      <c r="CF35" s="43">
        <v>0</v>
      </c>
      <c r="CG35" s="43">
        <v>1.5177065767300001E-3</v>
      </c>
      <c r="CH35" s="43">
        <v>0</v>
      </c>
      <c r="CI35" s="43">
        <v>0</v>
      </c>
      <c r="CJ35" s="43">
        <v>0</v>
      </c>
      <c r="CK35" s="43">
        <v>0</v>
      </c>
      <c r="CL35" s="43">
        <v>0</v>
      </c>
      <c r="CM35" s="43">
        <v>0</v>
      </c>
      <c r="CN35" s="43">
        <v>0</v>
      </c>
      <c r="CO35" s="43">
        <v>0</v>
      </c>
      <c r="CP35" s="43">
        <v>0</v>
      </c>
      <c r="CQ35" s="43">
        <v>0</v>
      </c>
      <c r="CR35" s="43">
        <v>0</v>
      </c>
      <c r="CS35" s="43">
        <v>0</v>
      </c>
      <c r="CT35" s="43">
        <v>0</v>
      </c>
      <c r="CU35" s="43">
        <v>0</v>
      </c>
      <c r="CV35" s="43">
        <v>5.0590219224299997E-4</v>
      </c>
      <c r="CW35" s="43">
        <v>0</v>
      </c>
      <c r="CX35" s="43">
        <v>0</v>
      </c>
      <c r="CY35" s="43">
        <v>0</v>
      </c>
      <c r="CZ35" s="43">
        <v>0</v>
      </c>
      <c r="DA35" s="43">
        <v>0</v>
      </c>
      <c r="DB35" s="43">
        <v>0</v>
      </c>
      <c r="DC35" s="43">
        <v>0</v>
      </c>
      <c r="DD35" s="43">
        <v>3.17032040472E-2</v>
      </c>
      <c r="DE35" s="43">
        <v>0</v>
      </c>
      <c r="DF35" s="43">
        <v>0</v>
      </c>
      <c r="DG35" s="43">
        <v>6.1720067453600001E-2</v>
      </c>
      <c r="DH35" s="43">
        <v>0</v>
      </c>
      <c r="DI35" s="43">
        <v>0</v>
      </c>
      <c r="DJ35" s="43">
        <v>5.7335581787499998E-3</v>
      </c>
      <c r="DK35" s="43">
        <v>0</v>
      </c>
      <c r="DL35" s="43">
        <v>4.1821247892099997E-2</v>
      </c>
      <c r="DM35" s="43">
        <v>0</v>
      </c>
      <c r="DN35" s="43">
        <v>0</v>
      </c>
      <c r="DO35" s="43">
        <v>0</v>
      </c>
      <c r="DP35" s="43">
        <v>0</v>
      </c>
      <c r="DQ35" s="43">
        <v>6.5430016863399998E-2</v>
      </c>
      <c r="DR35" s="43">
        <v>4.3844856661000003E-3</v>
      </c>
      <c r="DS35" s="43">
        <v>0.12748735244500001</v>
      </c>
      <c r="DT35" s="43">
        <v>0</v>
      </c>
      <c r="DU35" s="43">
        <v>1.4671163575E-2</v>
      </c>
      <c r="DV35" s="43">
        <v>0</v>
      </c>
      <c r="DW35" s="43">
        <v>0</v>
      </c>
      <c r="DX35" s="43">
        <v>0</v>
      </c>
      <c r="DY35" s="43">
        <v>7.2512647554800001E-3</v>
      </c>
      <c r="DZ35" s="43">
        <v>2.3102866779099999E-2</v>
      </c>
      <c r="EA35" s="43">
        <v>0</v>
      </c>
      <c r="EB35" s="43">
        <v>0.153456998314</v>
      </c>
      <c r="EC35" s="43">
        <v>0</v>
      </c>
      <c r="ED35" s="43">
        <v>9.1736930859999996E-2</v>
      </c>
      <c r="EE35" s="43">
        <v>9.7807757166899992E-3</v>
      </c>
      <c r="EF35" s="43">
        <v>1.68634064081E-4</v>
      </c>
      <c r="EG35" s="43">
        <v>6.4080944350800003E-3</v>
      </c>
      <c r="EH35" s="43">
        <v>0</v>
      </c>
      <c r="EI35" s="43">
        <v>3.37268128162E-4</v>
      </c>
      <c r="EJ35" s="43">
        <v>0</v>
      </c>
      <c r="EK35" s="43">
        <v>0</v>
      </c>
      <c r="EL35" s="43">
        <v>0</v>
      </c>
      <c r="EM35" s="43">
        <v>0</v>
      </c>
      <c r="EN35" s="43">
        <v>0</v>
      </c>
      <c r="EO35" s="43">
        <v>0</v>
      </c>
      <c r="EP35" s="43">
        <v>1.97301854975E-2</v>
      </c>
      <c r="EQ35" s="43">
        <v>0</v>
      </c>
      <c r="ER35" s="43">
        <v>0</v>
      </c>
      <c r="ES35" s="43">
        <v>0</v>
      </c>
      <c r="ET35" s="43">
        <v>0</v>
      </c>
      <c r="EU35" s="43">
        <v>6.74536256324E-4</v>
      </c>
      <c r="EV35" s="43">
        <v>0</v>
      </c>
      <c r="EW35" s="43">
        <v>0</v>
      </c>
      <c r="EX35" s="43">
        <v>0</v>
      </c>
      <c r="EY35" s="43">
        <v>4.8566610455300002E-2</v>
      </c>
      <c r="EZ35" s="43">
        <v>0</v>
      </c>
      <c r="FA35" s="43">
        <v>0</v>
      </c>
      <c r="FB35" s="43">
        <v>0</v>
      </c>
      <c r="FC35" s="43">
        <v>0</v>
      </c>
      <c r="FD35" s="43">
        <v>0</v>
      </c>
      <c r="FE35" s="43">
        <v>0</v>
      </c>
      <c r="FF35" s="43">
        <v>0</v>
      </c>
      <c r="FG35" s="43">
        <v>0</v>
      </c>
      <c r="FH35" s="43">
        <v>0</v>
      </c>
      <c r="FI35" s="43">
        <v>0</v>
      </c>
      <c r="FJ35" s="43">
        <v>0</v>
      </c>
      <c r="FK35" s="43">
        <v>5.0590219224299997E-4</v>
      </c>
      <c r="FL35" s="43">
        <v>1.68634064081E-4</v>
      </c>
      <c r="FM35" s="43">
        <v>0</v>
      </c>
      <c r="FN35" s="43">
        <v>0</v>
      </c>
      <c r="FO35" s="43">
        <v>0</v>
      </c>
      <c r="FP35" s="43">
        <v>0</v>
      </c>
      <c r="FQ35" s="43">
        <v>0</v>
      </c>
      <c r="FR35" s="43">
        <v>0</v>
      </c>
      <c r="FS35" s="43">
        <v>0</v>
      </c>
      <c r="FT35" s="43">
        <v>0</v>
      </c>
      <c r="FU35" s="43">
        <v>0</v>
      </c>
      <c r="FV35" s="43">
        <v>0</v>
      </c>
      <c r="FW35" s="43">
        <v>0</v>
      </c>
      <c r="FX35" s="43">
        <v>0</v>
      </c>
      <c r="FY35" s="43">
        <v>0</v>
      </c>
      <c r="FZ35" s="43">
        <v>5.0590219224299997E-4</v>
      </c>
      <c r="GA35" s="43">
        <v>0</v>
      </c>
      <c r="GB35" s="43">
        <v>1.68634064081E-3</v>
      </c>
      <c r="GC35" s="43">
        <v>4.7554806070800003E-2</v>
      </c>
      <c r="GD35" s="43">
        <v>0</v>
      </c>
    </row>
    <row r="36" spans="1:186" ht="16.5" x14ac:dyDescent="0.3">
      <c r="A36" s="21" t="s">
        <v>284</v>
      </c>
      <c r="B36" s="22" t="s">
        <v>1</v>
      </c>
      <c r="C36" s="23">
        <v>9.33</v>
      </c>
      <c r="D36" s="23" t="s">
        <v>183</v>
      </c>
      <c r="E36" s="24" t="s">
        <v>184</v>
      </c>
      <c r="F36" s="25" t="s">
        <v>285</v>
      </c>
      <c r="G36" s="26" t="s">
        <v>1</v>
      </c>
      <c r="H36" s="26" t="s">
        <v>184</v>
      </c>
      <c r="I36" s="27">
        <v>9</v>
      </c>
      <c r="J36" s="27">
        <v>145</v>
      </c>
      <c r="K36" s="27">
        <v>32</v>
      </c>
      <c r="L36" s="28">
        <f t="shared" si="13"/>
        <v>15.219976218787158</v>
      </c>
      <c r="M36" s="29">
        <v>28</v>
      </c>
      <c r="N36" s="30" t="s">
        <v>186</v>
      </c>
      <c r="O36" s="30" t="s">
        <v>186</v>
      </c>
      <c r="P36" s="30" t="s">
        <v>186</v>
      </c>
      <c r="Q36" s="30" t="s">
        <v>186</v>
      </c>
      <c r="R36" s="30" t="s">
        <v>186</v>
      </c>
      <c r="S36" s="31" t="s">
        <v>186</v>
      </c>
      <c r="T36" s="30" t="s">
        <v>186</v>
      </c>
      <c r="U36" s="30" t="s">
        <v>186</v>
      </c>
      <c r="V36" s="30" t="s">
        <v>207</v>
      </c>
      <c r="W36" s="30" t="s">
        <v>186</v>
      </c>
      <c r="X36" s="25">
        <v>4875.3963871679643</v>
      </c>
      <c r="Y36" s="25">
        <v>1555.7856704684802</v>
      </c>
      <c r="Z36" s="25">
        <v>565.7538074930203</v>
      </c>
      <c r="AA36" s="25">
        <v>10086.624255009436</v>
      </c>
      <c r="AB36" s="25">
        <v>371.70748652660029</v>
      </c>
      <c r="AC36" s="25">
        <v>1286.3355932039158</v>
      </c>
      <c r="AD36" s="32">
        <v>74.650000000000006</v>
      </c>
      <c r="AE36" s="32">
        <v>25.842500000000001</v>
      </c>
      <c r="AF36" s="23" t="s">
        <v>183</v>
      </c>
      <c r="AG36" s="33">
        <v>91.93</v>
      </c>
      <c r="AH36" s="33">
        <v>16.399999999999999</v>
      </c>
      <c r="AI36" s="34">
        <f t="shared" si="9"/>
        <v>28.111062765147395</v>
      </c>
      <c r="AJ36" s="34">
        <f t="shared" si="10"/>
        <v>157.57621951219514</v>
      </c>
      <c r="AK36" s="35">
        <v>91.93</v>
      </c>
      <c r="AL36" s="36">
        <f t="shared" si="11"/>
        <v>28.111062765147395</v>
      </c>
      <c r="AM36" s="37">
        <v>16.399999999999999</v>
      </c>
      <c r="AN36" s="38">
        <f t="shared" si="12"/>
        <v>157.57621951219514</v>
      </c>
      <c r="AO36" s="39">
        <v>1448103.9578086999</v>
      </c>
      <c r="AP36" s="39">
        <v>181143240.815283</v>
      </c>
      <c r="AQ36" s="39">
        <v>1947037.92903142</v>
      </c>
      <c r="AR36" s="39">
        <v>48990289.429948702</v>
      </c>
      <c r="AT36" s="47">
        <v>2.2765598650899999E-2</v>
      </c>
      <c r="AU36" s="47">
        <v>0.56981450252999999</v>
      </c>
      <c r="AV36" s="47">
        <v>3.87858347386E-3</v>
      </c>
      <c r="AW36" s="47">
        <v>1.68634064081E-3</v>
      </c>
      <c r="AX36" s="47">
        <v>3.37268128162E-4</v>
      </c>
      <c r="AY36" s="47">
        <v>0.40151770657699998</v>
      </c>
      <c r="AZ36" s="47">
        <v>0</v>
      </c>
      <c r="BA36" s="47">
        <v>0</v>
      </c>
      <c r="BB36" s="47">
        <v>0</v>
      </c>
      <c r="BC36" s="47">
        <v>0</v>
      </c>
      <c r="BD36" s="47">
        <v>0</v>
      </c>
      <c r="BE36" s="47">
        <v>0</v>
      </c>
      <c r="BF36" s="47">
        <v>0</v>
      </c>
      <c r="BG36" s="48"/>
      <c r="BH36" s="43">
        <v>0</v>
      </c>
      <c r="BI36" s="43">
        <v>0</v>
      </c>
      <c r="BJ36" s="43">
        <v>0</v>
      </c>
      <c r="BK36" s="43">
        <v>0</v>
      </c>
      <c r="BL36" s="43">
        <v>0</v>
      </c>
      <c r="BM36" s="43">
        <v>0</v>
      </c>
      <c r="BN36" s="43">
        <v>0</v>
      </c>
      <c r="BO36" s="43">
        <v>0</v>
      </c>
      <c r="BP36" s="43">
        <v>0</v>
      </c>
      <c r="BQ36" s="43">
        <v>0</v>
      </c>
      <c r="BR36" s="43">
        <v>0</v>
      </c>
      <c r="BS36" s="43">
        <v>0</v>
      </c>
      <c r="BT36" s="43">
        <v>0.29055649241100001</v>
      </c>
      <c r="BU36" s="43">
        <v>0</v>
      </c>
      <c r="BV36" s="43">
        <v>8.2630691399700005E-3</v>
      </c>
      <c r="BW36" s="43">
        <v>0</v>
      </c>
      <c r="BX36" s="43">
        <v>0.10269814502500001</v>
      </c>
      <c r="BY36" s="43">
        <v>0</v>
      </c>
      <c r="BZ36" s="43">
        <v>0</v>
      </c>
      <c r="CA36" s="43">
        <v>0</v>
      </c>
      <c r="CB36" s="43">
        <v>1.68634064081E-3</v>
      </c>
      <c r="CC36" s="43">
        <v>0</v>
      </c>
      <c r="CD36" s="43">
        <v>0</v>
      </c>
      <c r="CE36" s="43">
        <v>0</v>
      </c>
      <c r="CF36" s="43">
        <v>0</v>
      </c>
      <c r="CG36" s="43">
        <v>0</v>
      </c>
      <c r="CH36" s="43">
        <v>0</v>
      </c>
      <c r="CI36" s="43">
        <v>0</v>
      </c>
      <c r="CJ36" s="43">
        <v>0</v>
      </c>
      <c r="CK36" s="43">
        <v>0</v>
      </c>
      <c r="CL36" s="43">
        <v>0</v>
      </c>
      <c r="CM36" s="43">
        <v>0</v>
      </c>
      <c r="CN36" s="43">
        <v>0</v>
      </c>
      <c r="CO36" s="43">
        <v>0</v>
      </c>
      <c r="CP36" s="43">
        <v>0</v>
      </c>
      <c r="CQ36" s="43">
        <v>0</v>
      </c>
      <c r="CR36" s="43">
        <v>0</v>
      </c>
      <c r="CS36" s="43">
        <v>0</v>
      </c>
      <c r="CT36" s="43">
        <v>0</v>
      </c>
      <c r="CU36" s="43">
        <v>0</v>
      </c>
      <c r="CV36" s="43">
        <v>0</v>
      </c>
      <c r="CW36" s="43">
        <v>0</v>
      </c>
      <c r="CX36" s="43">
        <v>0</v>
      </c>
      <c r="CY36" s="43">
        <v>0</v>
      </c>
      <c r="CZ36" s="43">
        <v>0</v>
      </c>
      <c r="DA36" s="43">
        <v>0</v>
      </c>
      <c r="DB36" s="43">
        <v>0</v>
      </c>
      <c r="DC36" s="43">
        <v>0</v>
      </c>
      <c r="DD36" s="43">
        <v>5.9021922428299997E-3</v>
      </c>
      <c r="DE36" s="43">
        <v>0</v>
      </c>
      <c r="DF36" s="43">
        <v>0</v>
      </c>
      <c r="DG36" s="43">
        <v>4.55311973019E-2</v>
      </c>
      <c r="DH36" s="43">
        <v>0</v>
      </c>
      <c r="DI36" s="43">
        <v>0</v>
      </c>
      <c r="DJ36" s="43">
        <v>1.60202360877E-2</v>
      </c>
      <c r="DK36" s="43">
        <v>0</v>
      </c>
      <c r="DL36" s="43">
        <v>0</v>
      </c>
      <c r="DM36" s="43">
        <v>0</v>
      </c>
      <c r="DN36" s="43">
        <v>0</v>
      </c>
      <c r="DO36" s="43">
        <v>0</v>
      </c>
      <c r="DP36" s="43">
        <v>1.5177065767300001E-3</v>
      </c>
      <c r="DQ36" s="43">
        <v>8.8701517706599994E-2</v>
      </c>
      <c r="DR36" s="43">
        <v>0</v>
      </c>
      <c r="DS36" s="43">
        <v>0.15581787521099999</v>
      </c>
      <c r="DT36" s="43">
        <v>0</v>
      </c>
      <c r="DU36" s="43">
        <v>0</v>
      </c>
      <c r="DV36" s="43">
        <v>0</v>
      </c>
      <c r="DW36" s="43">
        <v>0</v>
      </c>
      <c r="DX36" s="43">
        <v>0</v>
      </c>
      <c r="DY36" s="43">
        <v>0</v>
      </c>
      <c r="DZ36" s="43">
        <v>0</v>
      </c>
      <c r="EA36" s="43">
        <v>0</v>
      </c>
      <c r="EB36" s="43">
        <v>6.5092748735200004E-2</v>
      </c>
      <c r="EC36" s="43">
        <v>0</v>
      </c>
      <c r="ED36" s="43">
        <v>2.1416526138300002E-2</v>
      </c>
      <c r="EE36" s="43">
        <v>1.5682967959499999E-2</v>
      </c>
      <c r="EF36" s="43">
        <v>4.89038785835E-3</v>
      </c>
      <c r="EG36" s="43">
        <v>4.2158516020200003E-3</v>
      </c>
      <c r="EH36" s="43">
        <v>0</v>
      </c>
      <c r="EI36" s="43">
        <v>1.5008431703200001E-2</v>
      </c>
      <c r="EJ36" s="43">
        <v>0</v>
      </c>
      <c r="EK36" s="43">
        <v>0</v>
      </c>
      <c r="EL36" s="43">
        <v>0</v>
      </c>
      <c r="EM36" s="43">
        <v>0</v>
      </c>
      <c r="EN36" s="43">
        <v>0</v>
      </c>
      <c r="EO36" s="43">
        <v>0</v>
      </c>
      <c r="EP36" s="43">
        <v>0</v>
      </c>
      <c r="EQ36" s="43">
        <v>0</v>
      </c>
      <c r="ER36" s="43">
        <v>0</v>
      </c>
      <c r="ES36" s="43">
        <v>0</v>
      </c>
      <c r="ET36" s="43">
        <v>0</v>
      </c>
      <c r="EU36" s="43">
        <v>0</v>
      </c>
      <c r="EV36" s="43">
        <v>0</v>
      </c>
      <c r="EW36" s="43">
        <v>0</v>
      </c>
      <c r="EX36" s="43">
        <v>0</v>
      </c>
      <c r="EY36" s="43">
        <v>0</v>
      </c>
      <c r="EZ36" s="43">
        <v>0</v>
      </c>
      <c r="FA36" s="43">
        <v>0</v>
      </c>
      <c r="FB36" s="43">
        <v>0</v>
      </c>
      <c r="FC36" s="43">
        <v>0</v>
      </c>
      <c r="FD36" s="43">
        <v>0</v>
      </c>
      <c r="FE36" s="43">
        <v>0.13001686340599999</v>
      </c>
      <c r="FF36" s="43">
        <v>0</v>
      </c>
      <c r="FG36" s="43">
        <v>0</v>
      </c>
      <c r="FH36" s="43">
        <v>0</v>
      </c>
      <c r="FI36" s="43">
        <v>0</v>
      </c>
      <c r="FJ36" s="43">
        <v>0</v>
      </c>
      <c r="FK36" s="43">
        <v>0</v>
      </c>
      <c r="FL36" s="43">
        <v>0</v>
      </c>
      <c r="FM36" s="43">
        <v>0</v>
      </c>
      <c r="FN36" s="43">
        <v>0</v>
      </c>
      <c r="FO36" s="43">
        <v>3.87858347386E-3</v>
      </c>
      <c r="FP36" s="43">
        <v>0</v>
      </c>
      <c r="FQ36" s="43">
        <v>0</v>
      </c>
      <c r="FR36" s="43">
        <v>0</v>
      </c>
      <c r="FS36" s="43">
        <v>0</v>
      </c>
      <c r="FT36" s="43">
        <v>0</v>
      </c>
      <c r="FU36" s="43">
        <v>0</v>
      </c>
      <c r="FV36" s="43">
        <v>0</v>
      </c>
      <c r="FW36" s="43">
        <v>0</v>
      </c>
      <c r="FX36" s="43">
        <v>0</v>
      </c>
      <c r="FY36" s="43">
        <v>0</v>
      </c>
      <c r="FZ36" s="43">
        <v>3.37268128162E-4</v>
      </c>
      <c r="GA36" s="43">
        <v>0</v>
      </c>
      <c r="GB36" s="43">
        <v>0</v>
      </c>
      <c r="GC36" s="43">
        <v>2.2765598650899999E-2</v>
      </c>
      <c r="GD36" s="43">
        <v>0</v>
      </c>
    </row>
    <row r="37" spans="1:186" ht="16.5" x14ac:dyDescent="0.3">
      <c r="A37" s="21" t="s">
        <v>286</v>
      </c>
      <c r="B37" s="57" t="s">
        <v>287</v>
      </c>
      <c r="C37" s="23">
        <v>12</v>
      </c>
      <c r="D37" s="23" t="s">
        <v>195</v>
      </c>
      <c r="E37" s="24" t="s">
        <v>184</v>
      </c>
      <c r="F37" s="25" t="s">
        <v>288</v>
      </c>
      <c r="G37" s="26" t="s">
        <v>289</v>
      </c>
      <c r="H37" s="26" t="s">
        <v>184</v>
      </c>
      <c r="I37" s="27">
        <v>12</v>
      </c>
      <c r="J37" s="27">
        <v>152</v>
      </c>
      <c r="K37" s="27">
        <v>47</v>
      </c>
      <c r="L37" s="28">
        <f t="shared" si="13"/>
        <v>20.342797783933516</v>
      </c>
      <c r="M37" s="29">
        <v>81</v>
      </c>
      <c r="N37" s="30" t="s">
        <v>186</v>
      </c>
      <c r="O37" s="30" t="s">
        <v>186</v>
      </c>
      <c r="P37" s="30" t="s">
        <v>186</v>
      </c>
      <c r="Q37" s="30" t="s">
        <v>186</v>
      </c>
      <c r="R37" s="30" t="s">
        <v>186</v>
      </c>
      <c r="S37" s="31" t="s">
        <v>186</v>
      </c>
      <c r="T37" s="30" t="s">
        <v>186</v>
      </c>
      <c r="U37" s="30" t="s">
        <v>290</v>
      </c>
      <c r="V37" s="30" t="s">
        <v>186</v>
      </c>
      <c r="W37" s="30" t="s">
        <v>186</v>
      </c>
      <c r="X37" s="25">
        <v>1847.101176751745</v>
      </c>
      <c r="Y37" s="25">
        <v>1281.3747478957257</v>
      </c>
      <c r="Z37" s="25">
        <v>800.78800881811378</v>
      </c>
      <c r="AA37" s="25">
        <v>2880.6372384499205</v>
      </c>
      <c r="AB37" s="25">
        <v>646.57510029908804</v>
      </c>
      <c r="AC37" s="25">
        <v>850.65039053331213</v>
      </c>
      <c r="AD37" s="32">
        <v>191.4</v>
      </c>
      <c r="AE37" s="32">
        <v>58.094999999999999</v>
      </c>
      <c r="AF37" s="23" t="s">
        <v>195</v>
      </c>
      <c r="AG37" s="33">
        <v>54.4</v>
      </c>
      <c r="AH37" s="33">
        <v>13.9</v>
      </c>
      <c r="AI37" s="34">
        <f t="shared" si="9"/>
        <v>106.7922794117647</v>
      </c>
      <c r="AJ37" s="34">
        <f t="shared" si="10"/>
        <v>417.9496402877698</v>
      </c>
      <c r="AK37" s="35">
        <v>54.4</v>
      </c>
      <c r="AL37" s="58">
        <f t="shared" si="11"/>
        <v>106.7922794117647</v>
      </c>
      <c r="AM37" s="37">
        <v>13.9</v>
      </c>
      <c r="AN37" s="59">
        <f t="shared" si="12"/>
        <v>417.9496402877698</v>
      </c>
      <c r="AO37" s="39">
        <v>981755.69303533295</v>
      </c>
      <c r="AP37" s="39">
        <v>3926648.3840711899</v>
      </c>
      <c r="AQ37" s="39">
        <v>4424851.7562974496</v>
      </c>
      <c r="AR37" s="39">
        <v>3492363.24614857</v>
      </c>
      <c r="AT37" s="47">
        <v>0.20033726812800001</v>
      </c>
      <c r="AU37" s="47">
        <v>0.52040472175399999</v>
      </c>
      <c r="AV37" s="47">
        <v>0</v>
      </c>
      <c r="AW37" s="47">
        <v>1.5177065767300001E-3</v>
      </c>
      <c r="AX37" s="47">
        <v>0</v>
      </c>
      <c r="AY37" s="47">
        <v>0.27740303541299999</v>
      </c>
      <c r="AZ37" s="47">
        <v>0</v>
      </c>
      <c r="BA37" s="47">
        <v>0</v>
      </c>
      <c r="BB37" s="47">
        <v>3.37268128162E-4</v>
      </c>
      <c r="BC37" s="47">
        <v>0</v>
      </c>
      <c r="BD37" s="47">
        <v>0</v>
      </c>
      <c r="BE37" s="47">
        <v>0</v>
      </c>
      <c r="BF37" s="47">
        <v>0</v>
      </c>
      <c r="BG37" s="48"/>
      <c r="BH37" s="43">
        <v>3.37268128162E-4</v>
      </c>
      <c r="BI37" s="43">
        <v>0</v>
      </c>
      <c r="BJ37" s="43">
        <v>0</v>
      </c>
      <c r="BK37" s="43">
        <v>0</v>
      </c>
      <c r="BL37" s="43">
        <v>0</v>
      </c>
      <c r="BM37" s="43">
        <v>6.74536256324E-4</v>
      </c>
      <c r="BN37" s="43">
        <v>0</v>
      </c>
      <c r="BO37" s="43">
        <v>0</v>
      </c>
      <c r="BP37" s="43">
        <v>0</v>
      </c>
      <c r="BQ37" s="43">
        <v>0</v>
      </c>
      <c r="BR37" s="43">
        <v>0</v>
      </c>
      <c r="BS37" s="43">
        <v>0</v>
      </c>
      <c r="BT37" s="43">
        <v>0.27099494097799998</v>
      </c>
      <c r="BU37" s="43">
        <v>0</v>
      </c>
      <c r="BV37" s="43">
        <v>0</v>
      </c>
      <c r="BW37" s="43">
        <v>2.6981450252999998E-3</v>
      </c>
      <c r="BX37" s="43">
        <v>3.0354131534600002E-3</v>
      </c>
      <c r="BY37" s="43">
        <v>0</v>
      </c>
      <c r="BZ37" s="43">
        <v>0</v>
      </c>
      <c r="CA37" s="43">
        <v>0</v>
      </c>
      <c r="CB37" s="43">
        <v>5.0590219224299997E-4</v>
      </c>
      <c r="CC37" s="43">
        <v>0</v>
      </c>
      <c r="CD37" s="43">
        <v>0</v>
      </c>
      <c r="CE37" s="43">
        <v>0</v>
      </c>
      <c r="CF37" s="43">
        <v>0</v>
      </c>
      <c r="CG37" s="43">
        <v>5.0590219224299997E-4</v>
      </c>
      <c r="CH37" s="43">
        <v>0</v>
      </c>
      <c r="CI37" s="43">
        <v>0</v>
      </c>
      <c r="CJ37" s="43">
        <v>0</v>
      </c>
      <c r="CK37" s="43">
        <v>5.0590219224299997E-4</v>
      </c>
      <c r="CL37" s="43">
        <v>0</v>
      </c>
      <c r="CM37" s="43">
        <v>0</v>
      </c>
      <c r="CN37" s="43">
        <v>0</v>
      </c>
      <c r="CO37" s="43">
        <v>0</v>
      </c>
      <c r="CP37" s="43">
        <v>0</v>
      </c>
      <c r="CQ37" s="43">
        <v>0</v>
      </c>
      <c r="CR37" s="43">
        <v>3.37268128162E-4</v>
      </c>
      <c r="CS37" s="43">
        <v>8.4317032040500002E-4</v>
      </c>
      <c r="CT37" s="43">
        <v>0</v>
      </c>
      <c r="CU37" s="43">
        <v>0</v>
      </c>
      <c r="CV37" s="43">
        <v>0</v>
      </c>
      <c r="CW37" s="43">
        <v>2.0236087689700002E-3</v>
      </c>
      <c r="CX37" s="43">
        <v>0</v>
      </c>
      <c r="CY37" s="43">
        <v>0</v>
      </c>
      <c r="CZ37" s="43">
        <v>0</v>
      </c>
      <c r="DA37" s="43">
        <v>0</v>
      </c>
      <c r="DB37" s="43">
        <v>0</v>
      </c>
      <c r="DC37" s="43">
        <v>0</v>
      </c>
      <c r="DD37" s="43">
        <v>3.0354131534599999E-2</v>
      </c>
      <c r="DE37" s="43">
        <v>0</v>
      </c>
      <c r="DF37" s="43">
        <v>0</v>
      </c>
      <c r="DG37" s="43">
        <v>7.33558178752E-2</v>
      </c>
      <c r="DH37" s="43">
        <v>0</v>
      </c>
      <c r="DI37" s="43">
        <v>0</v>
      </c>
      <c r="DJ37" s="43">
        <v>1.3490725126499999E-3</v>
      </c>
      <c r="DK37" s="43">
        <v>0</v>
      </c>
      <c r="DL37" s="43">
        <v>0</v>
      </c>
      <c r="DM37" s="43">
        <v>0</v>
      </c>
      <c r="DN37" s="43">
        <v>0</v>
      </c>
      <c r="DO37" s="43">
        <v>0</v>
      </c>
      <c r="DP37" s="43">
        <v>0</v>
      </c>
      <c r="DQ37" s="43">
        <v>0.101349072513</v>
      </c>
      <c r="DR37" s="43">
        <v>0</v>
      </c>
      <c r="DS37" s="43">
        <v>7.9258010117999999E-3</v>
      </c>
      <c r="DT37" s="43">
        <v>0</v>
      </c>
      <c r="DU37" s="43">
        <v>0</v>
      </c>
      <c r="DV37" s="43">
        <v>0</v>
      </c>
      <c r="DW37" s="43">
        <v>0</v>
      </c>
      <c r="DX37" s="43">
        <v>0</v>
      </c>
      <c r="DY37" s="43">
        <v>0</v>
      </c>
      <c r="DZ37" s="43">
        <v>5.9527824620600002E-2</v>
      </c>
      <c r="EA37" s="43">
        <v>0</v>
      </c>
      <c r="EB37" s="43">
        <v>3.7774030354099999E-2</v>
      </c>
      <c r="EC37" s="43">
        <v>0</v>
      </c>
      <c r="ED37" s="43">
        <v>3.1028667790900001E-2</v>
      </c>
      <c r="EE37" s="43">
        <v>8.8701517706599994E-2</v>
      </c>
      <c r="EF37" s="43">
        <v>0</v>
      </c>
      <c r="EG37" s="43">
        <v>1.01180438449E-3</v>
      </c>
      <c r="EH37" s="43">
        <v>0</v>
      </c>
      <c r="EI37" s="43">
        <v>0</v>
      </c>
      <c r="EJ37" s="43">
        <v>0</v>
      </c>
      <c r="EK37" s="43">
        <v>0</v>
      </c>
      <c r="EL37" s="43">
        <v>0</v>
      </c>
      <c r="EM37" s="43">
        <v>0</v>
      </c>
      <c r="EN37" s="43">
        <v>0</v>
      </c>
      <c r="EO37" s="43">
        <v>0</v>
      </c>
      <c r="EP37" s="43">
        <v>0</v>
      </c>
      <c r="EQ37" s="43">
        <v>0</v>
      </c>
      <c r="ER37" s="43">
        <v>0</v>
      </c>
      <c r="ES37" s="43">
        <v>0</v>
      </c>
      <c r="ET37" s="43">
        <v>0</v>
      </c>
      <c r="EU37" s="43">
        <v>0</v>
      </c>
      <c r="EV37" s="43">
        <v>0</v>
      </c>
      <c r="EW37" s="43">
        <v>0</v>
      </c>
      <c r="EX37" s="43">
        <v>0</v>
      </c>
      <c r="EY37" s="43">
        <v>7.9258010118000002E-2</v>
      </c>
      <c r="EZ37" s="43">
        <v>0</v>
      </c>
      <c r="FA37" s="43">
        <v>0</v>
      </c>
      <c r="FB37" s="43">
        <v>1.68634064081E-3</v>
      </c>
      <c r="FC37" s="43">
        <v>0</v>
      </c>
      <c r="FD37" s="43">
        <v>0</v>
      </c>
      <c r="FE37" s="43">
        <v>3.87858347386E-3</v>
      </c>
      <c r="FF37" s="43">
        <v>0</v>
      </c>
      <c r="FG37" s="43">
        <v>0</v>
      </c>
      <c r="FH37" s="43">
        <v>0</v>
      </c>
      <c r="FI37" s="43">
        <v>0</v>
      </c>
      <c r="FJ37" s="43">
        <v>0</v>
      </c>
      <c r="FK37" s="43">
        <v>0</v>
      </c>
      <c r="FL37" s="43">
        <v>0</v>
      </c>
      <c r="FM37" s="43">
        <v>0</v>
      </c>
      <c r="FN37" s="43">
        <v>0</v>
      </c>
      <c r="FO37" s="43">
        <v>0</v>
      </c>
      <c r="FP37" s="43">
        <v>0</v>
      </c>
      <c r="FQ37" s="43">
        <v>0</v>
      </c>
      <c r="FR37" s="43">
        <v>0</v>
      </c>
      <c r="FS37" s="43">
        <v>0</v>
      </c>
      <c r="FT37" s="43">
        <v>0</v>
      </c>
      <c r="FU37" s="43">
        <v>0</v>
      </c>
      <c r="FV37" s="43">
        <v>0</v>
      </c>
      <c r="FW37" s="43">
        <v>0</v>
      </c>
      <c r="FX37" s="43">
        <v>0</v>
      </c>
      <c r="FY37" s="43">
        <v>0</v>
      </c>
      <c r="FZ37" s="43">
        <v>0</v>
      </c>
      <c r="GA37" s="43">
        <v>0</v>
      </c>
      <c r="GB37" s="43">
        <v>0</v>
      </c>
      <c r="GC37" s="43">
        <v>0.20033726812800001</v>
      </c>
      <c r="GD37" s="43">
        <v>0</v>
      </c>
    </row>
    <row r="38" spans="1:186" ht="16.5" x14ac:dyDescent="0.3">
      <c r="A38" s="21" t="s">
        <v>291</v>
      </c>
      <c r="B38" s="22" t="s">
        <v>1</v>
      </c>
      <c r="C38" s="23">
        <v>6</v>
      </c>
      <c r="D38" s="23" t="s">
        <v>183</v>
      </c>
      <c r="E38" s="24" t="s">
        <v>184</v>
      </c>
      <c r="F38" s="25" t="s">
        <v>292</v>
      </c>
      <c r="G38" s="26" t="s">
        <v>1</v>
      </c>
      <c r="H38" s="26" t="s">
        <v>184</v>
      </c>
      <c r="I38" s="27">
        <v>6</v>
      </c>
      <c r="J38" s="50"/>
      <c r="K38" s="27">
        <v>21</v>
      </c>
      <c r="L38" s="28"/>
      <c r="M38" s="29"/>
      <c r="N38" s="30" t="s">
        <v>186</v>
      </c>
      <c r="O38" s="30" t="s">
        <v>186</v>
      </c>
      <c r="P38" s="30" t="s">
        <v>186</v>
      </c>
      <c r="Q38" s="30" t="s">
        <v>186</v>
      </c>
      <c r="R38" s="30" t="s">
        <v>186</v>
      </c>
      <c r="S38" s="31" t="s">
        <v>186</v>
      </c>
      <c r="T38" s="30" t="s">
        <v>186</v>
      </c>
      <c r="U38" s="30" t="s">
        <v>293</v>
      </c>
      <c r="V38" s="30" t="s">
        <v>294</v>
      </c>
      <c r="W38" s="30" t="s">
        <v>186</v>
      </c>
      <c r="X38" s="25">
        <v>1521.5963547620304</v>
      </c>
      <c r="Y38" s="25">
        <v>676.51020964956115</v>
      </c>
      <c r="Z38" s="25">
        <v>695.40226847571512</v>
      </c>
      <c r="AA38" s="25">
        <v>2375.9726880799335</v>
      </c>
      <c r="AB38" s="25">
        <v>743.42412735523828</v>
      </c>
      <c r="AC38" s="25">
        <v>835.65454544084071</v>
      </c>
      <c r="AD38" s="32">
        <v>380.25</v>
      </c>
      <c r="AE38" s="32">
        <v>117.80249999999999</v>
      </c>
      <c r="AF38" s="23" t="s">
        <v>183</v>
      </c>
      <c r="AG38" s="33">
        <v>177.1</v>
      </c>
      <c r="AH38" s="33">
        <v>19.3</v>
      </c>
      <c r="AI38" s="34">
        <f t="shared" si="9"/>
        <v>66.51750423489554</v>
      </c>
      <c r="AJ38" s="34">
        <f t="shared" si="10"/>
        <v>610.37564766839375</v>
      </c>
      <c r="AK38" s="35">
        <v>177.1</v>
      </c>
      <c r="AL38" s="36">
        <f t="shared" si="11"/>
        <v>66.51750423489554</v>
      </c>
      <c r="AM38" s="37">
        <v>19.3</v>
      </c>
      <c r="AN38" s="38">
        <f t="shared" si="12"/>
        <v>610.37564766839375</v>
      </c>
      <c r="AO38" s="39">
        <v>8258266.2472100696</v>
      </c>
      <c r="AP38" s="39">
        <v>7456555.0533173997</v>
      </c>
      <c r="AQ38" s="39">
        <v>3752312.9546797802</v>
      </c>
      <c r="AR38" s="39">
        <v>57514503.742889903</v>
      </c>
      <c r="AT38" s="47">
        <v>0.220404721754</v>
      </c>
      <c r="AU38" s="47">
        <v>0.44165261382799997</v>
      </c>
      <c r="AV38" s="47">
        <v>3.1365935919100002E-2</v>
      </c>
      <c r="AW38" s="47">
        <v>2.1922428330500001E-3</v>
      </c>
      <c r="AX38" s="47">
        <v>0</v>
      </c>
      <c r="AY38" s="47">
        <v>0.29898819561599999</v>
      </c>
      <c r="AZ38" s="47">
        <v>0</v>
      </c>
      <c r="BA38" s="47">
        <v>8.4317032040500002E-4</v>
      </c>
      <c r="BB38" s="47">
        <v>0</v>
      </c>
      <c r="BC38" s="47">
        <v>4.55311973019E-3</v>
      </c>
      <c r="BD38" s="47">
        <v>0</v>
      </c>
      <c r="BE38" s="47">
        <v>0</v>
      </c>
      <c r="BF38" s="47">
        <v>0</v>
      </c>
      <c r="BG38" s="48"/>
      <c r="BH38" s="43">
        <v>0</v>
      </c>
      <c r="BI38" s="43">
        <v>0</v>
      </c>
      <c r="BJ38" s="43">
        <v>0</v>
      </c>
      <c r="BK38" s="43">
        <v>0</v>
      </c>
      <c r="BL38" s="43">
        <v>0</v>
      </c>
      <c r="BM38" s="43">
        <v>0</v>
      </c>
      <c r="BN38" s="43">
        <v>0</v>
      </c>
      <c r="BO38" s="43">
        <v>0</v>
      </c>
      <c r="BP38" s="43">
        <v>0</v>
      </c>
      <c r="BQ38" s="43">
        <v>0</v>
      </c>
      <c r="BR38" s="43">
        <v>0</v>
      </c>
      <c r="BS38" s="43">
        <v>0</v>
      </c>
      <c r="BT38" s="43">
        <v>0.28667790893799999</v>
      </c>
      <c r="BU38" s="43">
        <v>3.5413153457000001E-3</v>
      </c>
      <c r="BV38" s="43">
        <v>8.7689713322099995E-3</v>
      </c>
      <c r="BW38" s="43">
        <v>0</v>
      </c>
      <c r="BX38" s="43">
        <v>0</v>
      </c>
      <c r="BY38" s="43">
        <v>0</v>
      </c>
      <c r="BZ38" s="43">
        <v>0</v>
      </c>
      <c r="CA38" s="43">
        <v>0</v>
      </c>
      <c r="CB38" s="43">
        <v>5.0590219224299997E-4</v>
      </c>
      <c r="CC38" s="43">
        <v>0</v>
      </c>
      <c r="CD38" s="43">
        <v>0</v>
      </c>
      <c r="CE38" s="43">
        <v>0</v>
      </c>
      <c r="CF38" s="43">
        <v>0</v>
      </c>
      <c r="CG38" s="43">
        <v>0</v>
      </c>
      <c r="CH38" s="43">
        <v>0</v>
      </c>
      <c r="CI38" s="43">
        <v>1.68634064081E-3</v>
      </c>
      <c r="CJ38" s="43">
        <v>0</v>
      </c>
      <c r="CK38" s="43">
        <v>0</v>
      </c>
      <c r="CL38" s="43">
        <v>0</v>
      </c>
      <c r="CM38" s="43">
        <v>0</v>
      </c>
      <c r="CN38" s="43">
        <v>4.55311973019E-3</v>
      </c>
      <c r="CO38" s="43">
        <v>0</v>
      </c>
      <c r="CP38" s="43">
        <v>6.74536256324E-4</v>
      </c>
      <c r="CQ38" s="43">
        <v>0</v>
      </c>
      <c r="CR38" s="43">
        <v>0</v>
      </c>
      <c r="CS38" s="43">
        <v>6.74536256324E-4</v>
      </c>
      <c r="CT38" s="43">
        <v>0</v>
      </c>
      <c r="CU38" s="43">
        <v>0</v>
      </c>
      <c r="CV38" s="43">
        <v>0</v>
      </c>
      <c r="CW38" s="43">
        <v>0</v>
      </c>
      <c r="CX38" s="43">
        <v>0</v>
      </c>
      <c r="CY38" s="43">
        <v>0</v>
      </c>
      <c r="CZ38" s="43">
        <v>0</v>
      </c>
      <c r="DA38" s="43">
        <v>0</v>
      </c>
      <c r="DB38" s="43">
        <v>0</v>
      </c>
      <c r="DC38" s="43">
        <v>0</v>
      </c>
      <c r="DD38" s="43">
        <v>0</v>
      </c>
      <c r="DE38" s="43">
        <v>0</v>
      </c>
      <c r="DF38" s="43">
        <v>0</v>
      </c>
      <c r="DG38" s="43">
        <v>8.0269814502499995E-2</v>
      </c>
      <c r="DH38" s="43">
        <v>3.37268128162E-4</v>
      </c>
      <c r="DI38" s="43">
        <v>0</v>
      </c>
      <c r="DJ38" s="43">
        <v>6.0876897133199999E-2</v>
      </c>
      <c r="DK38" s="43">
        <v>2.0236087689700002E-3</v>
      </c>
      <c r="DL38" s="43">
        <v>0</v>
      </c>
      <c r="DM38" s="43">
        <v>0</v>
      </c>
      <c r="DN38" s="43">
        <v>0</v>
      </c>
      <c r="DO38" s="43">
        <v>0</v>
      </c>
      <c r="DP38" s="43">
        <v>0</v>
      </c>
      <c r="DQ38" s="43">
        <v>7.2512647554800001E-3</v>
      </c>
      <c r="DR38" s="43">
        <v>0</v>
      </c>
      <c r="DS38" s="43">
        <v>6.5767284991600002E-3</v>
      </c>
      <c r="DT38" s="43">
        <v>5.3962900505899998E-3</v>
      </c>
      <c r="DU38" s="43">
        <v>0</v>
      </c>
      <c r="DV38" s="43">
        <v>0</v>
      </c>
      <c r="DW38" s="43">
        <v>0</v>
      </c>
      <c r="DX38" s="43">
        <v>0</v>
      </c>
      <c r="DY38" s="43">
        <v>0</v>
      </c>
      <c r="DZ38" s="43">
        <v>0</v>
      </c>
      <c r="EA38" s="43">
        <v>0</v>
      </c>
      <c r="EB38" s="43">
        <v>0.14586846543000001</v>
      </c>
      <c r="EC38" s="43">
        <v>0</v>
      </c>
      <c r="ED38" s="43">
        <v>9.8482293423300005E-2</v>
      </c>
      <c r="EE38" s="43">
        <v>0</v>
      </c>
      <c r="EF38" s="43">
        <v>1.51770657673E-2</v>
      </c>
      <c r="EG38" s="43">
        <v>2.1922428330500001E-3</v>
      </c>
      <c r="EH38" s="43">
        <v>0</v>
      </c>
      <c r="EI38" s="43">
        <v>0</v>
      </c>
      <c r="EJ38" s="43">
        <v>0</v>
      </c>
      <c r="EK38" s="43">
        <v>0</v>
      </c>
      <c r="EL38" s="43">
        <v>0</v>
      </c>
      <c r="EM38" s="43">
        <v>0</v>
      </c>
      <c r="EN38" s="43">
        <v>0</v>
      </c>
      <c r="EO38" s="43">
        <v>0</v>
      </c>
      <c r="EP38" s="43">
        <v>1.5682967959499999E-2</v>
      </c>
      <c r="EQ38" s="43">
        <v>0</v>
      </c>
      <c r="ER38" s="43">
        <v>0</v>
      </c>
      <c r="ES38" s="43">
        <v>0</v>
      </c>
      <c r="ET38" s="43">
        <v>1.68634064081E-4</v>
      </c>
      <c r="EU38" s="43">
        <v>0</v>
      </c>
      <c r="EV38" s="43">
        <v>0</v>
      </c>
      <c r="EW38" s="43">
        <v>0</v>
      </c>
      <c r="EX38" s="43">
        <v>0</v>
      </c>
      <c r="EY38" s="43">
        <v>0</v>
      </c>
      <c r="EZ38" s="43">
        <v>0</v>
      </c>
      <c r="FA38" s="43">
        <v>0</v>
      </c>
      <c r="FB38" s="43">
        <v>0</v>
      </c>
      <c r="FC38" s="43">
        <v>0</v>
      </c>
      <c r="FD38" s="43">
        <v>0</v>
      </c>
      <c r="FE38" s="43">
        <v>0</v>
      </c>
      <c r="FF38" s="43">
        <v>0</v>
      </c>
      <c r="FG38" s="43">
        <v>0</v>
      </c>
      <c r="FH38" s="43">
        <v>0</v>
      </c>
      <c r="FI38" s="43">
        <v>0</v>
      </c>
      <c r="FJ38" s="43">
        <v>0</v>
      </c>
      <c r="FK38" s="43">
        <v>0</v>
      </c>
      <c r="FL38" s="43">
        <v>0</v>
      </c>
      <c r="FM38" s="43">
        <v>0</v>
      </c>
      <c r="FN38" s="43">
        <v>0</v>
      </c>
      <c r="FO38" s="43">
        <v>3.1365935919100002E-2</v>
      </c>
      <c r="FP38" s="43">
        <v>0</v>
      </c>
      <c r="FQ38" s="43">
        <v>0</v>
      </c>
      <c r="FR38" s="43">
        <v>0</v>
      </c>
      <c r="FS38" s="43">
        <v>0</v>
      </c>
      <c r="FT38" s="43">
        <v>0</v>
      </c>
      <c r="FU38" s="43">
        <v>0</v>
      </c>
      <c r="FV38" s="43">
        <v>0</v>
      </c>
      <c r="FW38" s="43">
        <v>0</v>
      </c>
      <c r="FX38" s="43">
        <v>0</v>
      </c>
      <c r="FY38" s="43">
        <v>0</v>
      </c>
      <c r="FZ38" s="43">
        <v>0</v>
      </c>
      <c r="GA38" s="43">
        <v>0</v>
      </c>
      <c r="GB38" s="43">
        <v>8.4317032040500002E-4</v>
      </c>
      <c r="GC38" s="43">
        <v>0.220404721754</v>
      </c>
      <c r="GD38" s="43">
        <v>0</v>
      </c>
    </row>
    <row r="39" spans="1:186" ht="16.5" x14ac:dyDescent="0.3">
      <c r="A39" s="21" t="s">
        <v>295</v>
      </c>
      <c r="B39" s="22" t="s">
        <v>1</v>
      </c>
      <c r="C39" s="23">
        <v>11</v>
      </c>
      <c r="D39" s="23" t="s">
        <v>183</v>
      </c>
      <c r="E39" s="24" t="s">
        <v>184</v>
      </c>
      <c r="F39" s="25" t="s">
        <v>296</v>
      </c>
      <c r="G39" s="26" t="s">
        <v>1</v>
      </c>
      <c r="H39" s="26" t="s">
        <v>184</v>
      </c>
      <c r="I39" s="27">
        <v>11</v>
      </c>
      <c r="J39" s="27">
        <v>160</v>
      </c>
      <c r="K39" s="27">
        <v>70</v>
      </c>
      <c r="L39" s="28">
        <f>K39/(J39/100)^2</f>
        <v>27.343749999999996</v>
      </c>
      <c r="M39" s="29">
        <v>98</v>
      </c>
      <c r="N39" s="30" t="s">
        <v>186</v>
      </c>
      <c r="O39" s="30" t="s">
        <v>186</v>
      </c>
      <c r="P39" s="30" t="s">
        <v>186</v>
      </c>
      <c r="Q39" s="30" t="s">
        <v>186</v>
      </c>
      <c r="R39" s="30" t="s">
        <v>186</v>
      </c>
      <c r="S39" s="31" t="s">
        <v>186</v>
      </c>
      <c r="T39" s="30" t="s">
        <v>186</v>
      </c>
      <c r="U39" s="30" t="s">
        <v>186</v>
      </c>
      <c r="V39" s="30" t="s">
        <v>186</v>
      </c>
      <c r="W39" s="30" t="s">
        <v>186</v>
      </c>
      <c r="X39" s="25">
        <v>2822.8055542044021</v>
      </c>
      <c r="Y39" s="25">
        <v>1236.3361442225087</v>
      </c>
      <c r="Z39" s="25">
        <v>1007.479255370161</v>
      </c>
      <c r="AA39" s="25">
        <v>5407.2416737845078</v>
      </c>
      <c r="AB39" s="25">
        <v>1003.512497533397</v>
      </c>
      <c r="AC39" s="25">
        <v>1080.1681492295365</v>
      </c>
      <c r="AD39" s="32">
        <v>320.10000000000002</v>
      </c>
      <c r="AE39" s="32">
        <v>47.297499999999999</v>
      </c>
      <c r="AF39" s="23" t="s">
        <v>183</v>
      </c>
      <c r="AG39" s="33">
        <v>66.2</v>
      </c>
      <c r="AH39" s="33">
        <v>14.7</v>
      </c>
      <c r="AI39" s="34">
        <f t="shared" si="9"/>
        <v>71.446374622356487</v>
      </c>
      <c r="AJ39" s="34">
        <f t="shared" si="10"/>
        <v>321.75170068027211</v>
      </c>
      <c r="AK39" s="35">
        <v>66.2</v>
      </c>
      <c r="AL39" s="36">
        <f t="shared" si="11"/>
        <v>71.446374622356487</v>
      </c>
      <c r="AM39" s="37">
        <v>14.7</v>
      </c>
      <c r="AN39" s="38">
        <f t="shared" si="12"/>
        <v>321.75170068027211</v>
      </c>
      <c r="AO39" s="39">
        <v>2717813.0032939902</v>
      </c>
      <c r="AP39" s="39">
        <v>4118357.6048314101</v>
      </c>
      <c r="AQ39" s="39">
        <v>15897633.1351369</v>
      </c>
      <c r="AR39" s="39">
        <v>9543116.0544540305</v>
      </c>
      <c r="AT39" s="47">
        <v>0</v>
      </c>
      <c r="AU39" s="47">
        <v>0.67183811129799997</v>
      </c>
      <c r="AV39" s="47">
        <v>1.85497470489E-3</v>
      </c>
      <c r="AW39" s="47">
        <v>1.0623946037100001E-2</v>
      </c>
      <c r="AX39" s="47">
        <v>0</v>
      </c>
      <c r="AY39" s="47">
        <v>0.310961214165</v>
      </c>
      <c r="AZ39" s="47">
        <v>4.0472175379400004E-3</v>
      </c>
      <c r="BA39" s="47">
        <v>5.0590219224299997E-4</v>
      </c>
      <c r="BB39" s="47">
        <v>1.68634064081E-4</v>
      </c>
      <c r="BC39" s="47">
        <v>0</v>
      </c>
      <c r="BD39" s="47">
        <v>0</v>
      </c>
      <c r="BE39" s="47">
        <v>0</v>
      </c>
      <c r="BF39" s="47">
        <v>0</v>
      </c>
      <c r="BG39" s="48"/>
      <c r="BH39" s="43">
        <v>1.68634064081E-4</v>
      </c>
      <c r="BI39" s="43">
        <v>1.5177065767300001E-3</v>
      </c>
      <c r="BJ39" s="43">
        <v>2.5295109612100001E-3</v>
      </c>
      <c r="BK39" s="43">
        <v>0</v>
      </c>
      <c r="BL39" s="43">
        <v>0</v>
      </c>
      <c r="BM39" s="43">
        <v>0</v>
      </c>
      <c r="BN39" s="43">
        <v>0</v>
      </c>
      <c r="BO39" s="43">
        <v>0</v>
      </c>
      <c r="BP39" s="43">
        <v>0</v>
      </c>
      <c r="BQ39" s="43">
        <v>0</v>
      </c>
      <c r="BR39" s="43">
        <v>0</v>
      </c>
      <c r="BS39" s="43">
        <v>0</v>
      </c>
      <c r="BT39" s="43">
        <v>0.22259696458700001</v>
      </c>
      <c r="BU39" s="43">
        <v>2.0910623946E-2</v>
      </c>
      <c r="BV39" s="43">
        <v>7.41989881956E-3</v>
      </c>
      <c r="BW39" s="43">
        <v>0</v>
      </c>
      <c r="BX39" s="43">
        <v>6.0033726812800003E-2</v>
      </c>
      <c r="BY39" s="43">
        <v>0</v>
      </c>
      <c r="BZ39" s="43">
        <v>0</v>
      </c>
      <c r="CA39" s="43">
        <v>0</v>
      </c>
      <c r="CB39" s="43">
        <v>3.3726812816200001E-3</v>
      </c>
      <c r="CC39" s="43">
        <v>0</v>
      </c>
      <c r="CD39" s="43">
        <v>0</v>
      </c>
      <c r="CE39" s="43">
        <v>4.0472175379400004E-3</v>
      </c>
      <c r="CF39" s="43">
        <v>0</v>
      </c>
      <c r="CG39" s="43">
        <v>0</v>
      </c>
      <c r="CH39" s="43">
        <v>0</v>
      </c>
      <c r="CI39" s="43">
        <v>2.3608768971300001E-3</v>
      </c>
      <c r="CJ39" s="43">
        <v>0</v>
      </c>
      <c r="CK39" s="43">
        <v>0</v>
      </c>
      <c r="CL39" s="43">
        <v>0</v>
      </c>
      <c r="CM39" s="43">
        <v>8.4317032040500002E-4</v>
      </c>
      <c r="CN39" s="43">
        <v>0</v>
      </c>
      <c r="CO39" s="43">
        <v>0</v>
      </c>
      <c r="CP39" s="43">
        <v>0</v>
      </c>
      <c r="CQ39" s="43">
        <v>0</v>
      </c>
      <c r="CR39" s="43">
        <v>0</v>
      </c>
      <c r="CS39" s="43">
        <v>0</v>
      </c>
      <c r="CT39" s="43">
        <v>0</v>
      </c>
      <c r="CU39" s="43">
        <v>0</v>
      </c>
      <c r="CV39" s="43">
        <v>0</v>
      </c>
      <c r="CW39" s="43">
        <v>0</v>
      </c>
      <c r="CX39" s="43">
        <v>0</v>
      </c>
      <c r="CY39" s="43">
        <v>3.37268128162E-4</v>
      </c>
      <c r="CZ39" s="43">
        <v>1.3490725126499999E-3</v>
      </c>
      <c r="DA39" s="43">
        <v>0</v>
      </c>
      <c r="DB39" s="43">
        <v>0</v>
      </c>
      <c r="DC39" s="43">
        <v>0</v>
      </c>
      <c r="DD39" s="43">
        <v>0</v>
      </c>
      <c r="DE39" s="43">
        <v>3.3726812816200001E-3</v>
      </c>
      <c r="DF39" s="43">
        <v>0</v>
      </c>
      <c r="DG39" s="43">
        <v>0.121416526138</v>
      </c>
      <c r="DH39" s="43">
        <v>1.85497470489E-3</v>
      </c>
      <c r="DI39" s="43">
        <v>0</v>
      </c>
      <c r="DJ39" s="43">
        <v>4.6880269814499997E-2</v>
      </c>
      <c r="DK39" s="43">
        <v>5.0590219224299997E-4</v>
      </c>
      <c r="DL39" s="43">
        <v>0</v>
      </c>
      <c r="DM39" s="43">
        <v>0</v>
      </c>
      <c r="DN39" s="43">
        <v>0</v>
      </c>
      <c r="DO39" s="43">
        <v>0</v>
      </c>
      <c r="DP39" s="43">
        <v>0</v>
      </c>
      <c r="DQ39" s="43">
        <v>5.76728499157E-2</v>
      </c>
      <c r="DR39" s="43">
        <v>0</v>
      </c>
      <c r="DS39" s="43">
        <v>5.4637436762200002E-2</v>
      </c>
      <c r="DT39" s="43">
        <v>3.5413153457000001E-3</v>
      </c>
      <c r="DU39" s="43">
        <v>8.4317032040500002E-4</v>
      </c>
      <c r="DV39" s="43">
        <v>0</v>
      </c>
      <c r="DW39" s="43">
        <v>0</v>
      </c>
      <c r="DX39" s="43">
        <v>0</v>
      </c>
      <c r="DY39" s="43">
        <v>2.5295109612100001E-3</v>
      </c>
      <c r="DZ39" s="43">
        <v>3.37268128162E-4</v>
      </c>
      <c r="EA39" s="43">
        <v>0</v>
      </c>
      <c r="EB39" s="43">
        <v>0.138617200675</v>
      </c>
      <c r="EC39" s="43">
        <v>0</v>
      </c>
      <c r="ED39" s="43">
        <v>9.0050590219200005E-2</v>
      </c>
      <c r="EE39" s="43">
        <v>0</v>
      </c>
      <c r="EF39" s="43">
        <v>0</v>
      </c>
      <c r="EG39" s="43">
        <v>3.70994940978E-3</v>
      </c>
      <c r="EH39" s="43">
        <v>0</v>
      </c>
      <c r="EI39" s="43">
        <v>3.2377740303499998E-2</v>
      </c>
      <c r="EJ39" s="43">
        <v>0</v>
      </c>
      <c r="EK39" s="43">
        <v>0</v>
      </c>
      <c r="EL39" s="43">
        <v>0</v>
      </c>
      <c r="EM39" s="43">
        <v>0</v>
      </c>
      <c r="EN39" s="43">
        <v>0</v>
      </c>
      <c r="EO39" s="43">
        <v>0</v>
      </c>
      <c r="EP39" s="43">
        <v>9.9494097807800008E-3</v>
      </c>
      <c r="EQ39" s="43">
        <v>0</v>
      </c>
      <c r="ER39" s="43">
        <v>0</v>
      </c>
      <c r="ES39" s="43">
        <v>0</v>
      </c>
      <c r="ET39" s="43">
        <v>0</v>
      </c>
      <c r="EU39" s="43">
        <v>0</v>
      </c>
      <c r="EV39" s="43">
        <v>0</v>
      </c>
      <c r="EW39" s="43">
        <v>0</v>
      </c>
      <c r="EX39" s="43">
        <v>0</v>
      </c>
      <c r="EY39" s="43">
        <v>0</v>
      </c>
      <c r="EZ39" s="43">
        <v>0</v>
      </c>
      <c r="FA39" s="43">
        <v>0</v>
      </c>
      <c r="FB39" s="43">
        <v>5.98650927487E-2</v>
      </c>
      <c r="FC39" s="43">
        <v>0</v>
      </c>
      <c r="FD39" s="43">
        <v>0</v>
      </c>
      <c r="FE39" s="43">
        <v>4.1989881956200001E-2</v>
      </c>
      <c r="FF39" s="43">
        <v>0</v>
      </c>
      <c r="FG39" s="43">
        <v>0</v>
      </c>
      <c r="FH39" s="43">
        <v>0</v>
      </c>
      <c r="FI39" s="43">
        <v>0</v>
      </c>
      <c r="FJ39" s="43">
        <v>0</v>
      </c>
      <c r="FK39" s="43">
        <v>0</v>
      </c>
      <c r="FL39" s="43">
        <v>0</v>
      </c>
      <c r="FM39" s="43">
        <v>0</v>
      </c>
      <c r="FN39" s="43">
        <v>0</v>
      </c>
      <c r="FO39" s="43">
        <v>1.85497470489E-3</v>
      </c>
      <c r="FP39" s="43">
        <v>0</v>
      </c>
      <c r="FQ39" s="43">
        <v>0</v>
      </c>
      <c r="FR39" s="43">
        <v>0</v>
      </c>
      <c r="FS39" s="43">
        <v>0</v>
      </c>
      <c r="FT39" s="43">
        <v>0</v>
      </c>
      <c r="FU39" s="43">
        <v>0</v>
      </c>
      <c r="FV39" s="43">
        <v>0</v>
      </c>
      <c r="FW39" s="43">
        <v>0</v>
      </c>
      <c r="FX39" s="43">
        <v>0</v>
      </c>
      <c r="FY39" s="43">
        <v>0</v>
      </c>
      <c r="FZ39" s="43">
        <v>0</v>
      </c>
      <c r="GA39" s="43">
        <v>0</v>
      </c>
      <c r="GB39" s="43">
        <v>5.0590219224299997E-4</v>
      </c>
      <c r="GC39" s="43">
        <v>0</v>
      </c>
      <c r="GD39" s="43">
        <v>0</v>
      </c>
    </row>
    <row r="40" spans="1:186" ht="16.5" x14ac:dyDescent="0.3">
      <c r="A40" s="21" t="s">
        <v>297</v>
      </c>
      <c r="B40" s="22" t="s">
        <v>1</v>
      </c>
      <c r="C40" s="23">
        <v>6.5</v>
      </c>
      <c r="D40" s="23" t="s">
        <v>183</v>
      </c>
      <c r="E40" s="24" t="s">
        <v>184</v>
      </c>
      <c r="F40" s="25" t="s">
        <v>298</v>
      </c>
      <c r="G40" s="26" t="s">
        <v>1</v>
      </c>
      <c r="H40" s="26" t="s">
        <v>184</v>
      </c>
      <c r="I40" s="50">
        <v>6.5</v>
      </c>
      <c r="J40" s="27">
        <v>128</v>
      </c>
      <c r="K40" s="27">
        <v>33</v>
      </c>
      <c r="L40" s="28">
        <f>K40/(J40/100)^2</f>
        <v>20.1416015625</v>
      </c>
      <c r="M40" s="29">
        <v>98</v>
      </c>
      <c r="N40" s="30" t="s">
        <v>186</v>
      </c>
      <c r="O40" s="30" t="s">
        <v>186</v>
      </c>
      <c r="P40" s="30" t="s">
        <v>186</v>
      </c>
      <c r="Q40" s="30" t="s">
        <v>186</v>
      </c>
      <c r="R40" s="30" t="s">
        <v>186</v>
      </c>
      <c r="S40" s="31" t="s">
        <v>186</v>
      </c>
      <c r="T40" s="30" t="s">
        <v>186</v>
      </c>
      <c r="U40" s="30" t="s">
        <v>211</v>
      </c>
      <c r="V40" s="30" t="s">
        <v>299</v>
      </c>
      <c r="W40" s="30" t="s">
        <v>186</v>
      </c>
      <c r="X40" s="25">
        <v>13090.07625550848</v>
      </c>
      <c r="Y40" s="25">
        <v>2073.1179132423504</v>
      </c>
      <c r="Z40" s="25">
        <v>582.72744657286546</v>
      </c>
      <c r="AA40" s="25">
        <v>7555.3885767552019</v>
      </c>
      <c r="AB40" s="25">
        <v>1137.8985194193349</v>
      </c>
      <c r="AC40" s="25">
        <v>1765.8543619996547</v>
      </c>
      <c r="AD40" s="49" t="s">
        <v>221</v>
      </c>
      <c r="AE40" s="49"/>
      <c r="AF40" s="23" t="s">
        <v>183</v>
      </c>
      <c r="AG40" s="33"/>
      <c r="AH40" s="33"/>
      <c r="AI40" s="34"/>
      <c r="AJ40" s="34"/>
      <c r="AK40" s="49" t="s">
        <v>221</v>
      </c>
      <c r="AL40" s="49" t="s">
        <v>221</v>
      </c>
      <c r="AM40" s="49" t="s">
        <v>221</v>
      </c>
      <c r="AN40" s="49" t="s">
        <v>221</v>
      </c>
      <c r="AO40" s="39">
        <v>970772.02450236003</v>
      </c>
      <c r="AP40" s="39">
        <v>14032121.802006699</v>
      </c>
      <c r="AQ40" s="39">
        <v>1054178.5080087199</v>
      </c>
      <c r="AR40" s="39">
        <v>1910605.4920888799</v>
      </c>
      <c r="AT40" s="47">
        <v>2.9005059021899999E-2</v>
      </c>
      <c r="AU40" s="47">
        <v>0.52731871838099997</v>
      </c>
      <c r="AV40" s="47">
        <v>1.83811129848E-2</v>
      </c>
      <c r="AW40" s="47">
        <v>1.18043844857E-3</v>
      </c>
      <c r="AX40" s="47">
        <v>0</v>
      </c>
      <c r="AY40" s="47">
        <v>0.423777403035</v>
      </c>
      <c r="AZ40" s="47">
        <v>0</v>
      </c>
      <c r="BA40" s="47">
        <v>0</v>
      </c>
      <c r="BB40" s="47">
        <v>0</v>
      </c>
      <c r="BC40" s="47">
        <v>3.37268128162E-4</v>
      </c>
      <c r="BD40" s="47">
        <v>0</v>
      </c>
      <c r="BE40" s="47">
        <v>0</v>
      </c>
      <c r="BF40" s="47">
        <v>0</v>
      </c>
      <c r="BG40" s="48"/>
      <c r="BH40" s="43">
        <v>0</v>
      </c>
      <c r="BI40" s="43">
        <v>0</v>
      </c>
      <c r="BJ40" s="43">
        <v>0</v>
      </c>
      <c r="BK40" s="43">
        <v>0</v>
      </c>
      <c r="BL40" s="43">
        <v>0</v>
      </c>
      <c r="BM40" s="43">
        <v>0</v>
      </c>
      <c r="BN40" s="43">
        <v>0</v>
      </c>
      <c r="BO40" s="43">
        <v>0</v>
      </c>
      <c r="BP40" s="43">
        <v>0</v>
      </c>
      <c r="BQ40" s="43">
        <v>0</v>
      </c>
      <c r="BR40" s="43">
        <v>0</v>
      </c>
      <c r="BS40" s="43">
        <v>0</v>
      </c>
      <c r="BT40" s="43">
        <v>0.40876897133200002</v>
      </c>
      <c r="BU40" s="43">
        <v>0</v>
      </c>
      <c r="BV40" s="43">
        <v>5.0590219224299999E-3</v>
      </c>
      <c r="BW40" s="43">
        <v>5.3962900505899998E-3</v>
      </c>
      <c r="BX40" s="43">
        <v>0</v>
      </c>
      <c r="BY40" s="43">
        <v>4.55311973019E-3</v>
      </c>
      <c r="BZ40" s="43">
        <v>0</v>
      </c>
      <c r="CA40" s="43">
        <v>0</v>
      </c>
      <c r="CB40" s="43">
        <v>6.74536256324E-4</v>
      </c>
      <c r="CC40" s="43">
        <v>0</v>
      </c>
      <c r="CD40" s="43">
        <v>0</v>
      </c>
      <c r="CE40" s="43">
        <v>0</v>
      </c>
      <c r="CF40" s="43">
        <v>1.68634064081E-4</v>
      </c>
      <c r="CG40" s="43">
        <v>3.37268128162E-4</v>
      </c>
      <c r="CH40" s="43">
        <v>0</v>
      </c>
      <c r="CI40" s="43">
        <v>0</v>
      </c>
      <c r="CJ40" s="43">
        <v>0</v>
      </c>
      <c r="CK40" s="43">
        <v>0</v>
      </c>
      <c r="CL40" s="43">
        <v>0</v>
      </c>
      <c r="CM40" s="43">
        <v>0</v>
      </c>
      <c r="CN40" s="43">
        <v>0</v>
      </c>
      <c r="CO40" s="43">
        <v>3.37268128162E-4</v>
      </c>
      <c r="CP40" s="43">
        <v>0</v>
      </c>
      <c r="CQ40" s="43">
        <v>0</v>
      </c>
      <c r="CR40" s="43">
        <v>0</v>
      </c>
      <c r="CS40" s="43">
        <v>0</v>
      </c>
      <c r="CT40" s="43">
        <v>0</v>
      </c>
      <c r="CU40" s="43">
        <v>0</v>
      </c>
      <c r="CV40" s="43">
        <v>0</v>
      </c>
      <c r="CW40" s="43">
        <v>0</v>
      </c>
      <c r="CX40" s="43">
        <v>0</v>
      </c>
      <c r="CY40" s="43">
        <v>0</v>
      </c>
      <c r="CZ40" s="43">
        <v>0</v>
      </c>
      <c r="DA40" s="43">
        <v>0</v>
      </c>
      <c r="DB40" s="43">
        <v>0</v>
      </c>
      <c r="DC40" s="43">
        <v>0</v>
      </c>
      <c r="DD40" s="43">
        <v>3.9629005059000001E-2</v>
      </c>
      <c r="DE40" s="43">
        <v>0</v>
      </c>
      <c r="DF40" s="43">
        <v>0</v>
      </c>
      <c r="DG40" s="43">
        <v>0</v>
      </c>
      <c r="DH40" s="43">
        <v>0</v>
      </c>
      <c r="DI40" s="43">
        <v>0</v>
      </c>
      <c r="DJ40" s="43">
        <v>4.2158516020200003E-3</v>
      </c>
      <c r="DK40" s="43">
        <v>0</v>
      </c>
      <c r="DL40" s="43">
        <v>0</v>
      </c>
      <c r="DM40" s="43">
        <v>0</v>
      </c>
      <c r="DN40" s="43">
        <v>0</v>
      </c>
      <c r="DO40" s="43">
        <v>0</v>
      </c>
      <c r="DP40" s="43">
        <v>1.68634064081E-4</v>
      </c>
      <c r="DQ40" s="43">
        <v>6.3575042158500003E-2</v>
      </c>
      <c r="DR40" s="43">
        <v>0</v>
      </c>
      <c r="DS40" s="43">
        <v>0.106745362563</v>
      </c>
      <c r="DT40" s="43">
        <v>0</v>
      </c>
      <c r="DU40" s="43">
        <v>0</v>
      </c>
      <c r="DV40" s="43">
        <v>0</v>
      </c>
      <c r="DW40" s="43">
        <v>0</v>
      </c>
      <c r="DX40" s="43">
        <v>0</v>
      </c>
      <c r="DY40" s="43">
        <v>5.0590219224299997E-4</v>
      </c>
      <c r="DZ40" s="43">
        <v>4.8060708263100001E-2</v>
      </c>
      <c r="EA40" s="43">
        <v>0</v>
      </c>
      <c r="EB40" s="43">
        <v>0.15514333895400001</v>
      </c>
      <c r="EC40" s="43">
        <v>0</v>
      </c>
      <c r="ED40" s="43">
        <v>1.41652613828E-2</v>
      </c>
      <c r="EE40" s="43">
        <v>1.51770657673E-2</v>
      </c>
      <c r="EF40" s="43">
        <v>2.0236087689700002E-3</v>
      </c>
      <c r="EG40" s="43">
        <v>3.8279932546399997E-2</v>
      </c>
      <c r="EH40" s="43">
        <v>0</v>
      </c>
      <c r="EI40" s="43">
        <v>2.3608768971300001E-3</v>
      </c>
      <c r="EJ40" s="43">
        <v>0</v>
      </c>
      <c r="EK40" s="43">
        <v>1.68634064081E-4</v>
      </c>
      <c r="EL40" s="43">
        <v>0</v>
      </c>
      <c r="EM40" s="43">
        <v>0</v>
      </c>
      <c r="EN40" s="43">
        <v>0</v>
      </c>
      <c r="EO40" s="43">
        <v>0</v>
      </c>
      <c r="EP40" s="43">
        <v>2.1922428330500001E-3</v>
      </c>
      <c r="EQ40" s="43">
        <v>0</v>
      </c>
      <c r="ER40" s="43">
        <v>0</v>
      </c>
      <c r="ES40" s="43">
        <v>1.68634064081E-4</v>
      </c>
      <c r="ET40" s="43">
        <v>0</v>
      </c>
      <c r="EU40" s="43">
        <v>0</v>
      </c>
      <c r="EV40" s="43">
        <v>0</v>
      </c>
      <c r="EW40" s="43">
        <v>0</v>
      </c>
      <c r="EX40" s="43">
        <v>4.3844856661000003E-3</v>
      </c>
      <c r="EY40" s="43">
        <v>1.14671163575E-2</v>
      </c>
      <c r="EZ40" s="43">
        <v>0</v>
      </c>
      <c r="FA40" s="43">
        <v>0</v>
      </c>
      <c r="FB40" s="43">
        <v>0</v>
      </c>
      <c r="FC40" s="43">
        <v>1.16357504216E-2</v>
      </c>
      <c r="FD40" s="43">
        <v>0</v>
      </c>
      <c r="FE40" s="43">
        <v>7.2512647554800001E-3</v>
      </c>
      <c r="FF40" s="43">
        <v>0</v>
      </c>
      <c r="FG40" s="43">
        <v>0</v>
      </c>
      <c r="FH40" s="43">
        <v>0</v>
      </c>
      <c r="FI40" s="43">
        <v>0</v>
      </c>
      <c r="FJ40" s="43">
        <v>0</v>
      </c>
      <c r="FK40" s="43">
        <v>0</v>
      </c>
      <c r="FL40" s="43">
        <v>0</v>
      </c>
      <c r="FM40" s="43">
        <v>0</v>
      </c>
      <c r="FN40" s="43">
        <v>0</v>
      </c>
      <c r="FO40" s="43">
        <v>1.83811129848E-2</v>
      </c>
      <c r="FP40" s="43">
        <v>0</v>
      </c>
      <c r="FQ40" s="43">
        <v>0</v>
      </c>
      <c r="FR40" s="43">
        <v>0</v>
      </c>
      <c r="FS40" s="43">
        <v>0</v>
      </c>
      <c r="FT40" s="43">
        <v>0</v>
      </c>
      <c r="FU40" s="43">
        <v>0</v>
      </c>
      <c r="FV40" s="43">
        <v>0</v>
      </c>
      <c r="FW40" s="43">
        <v>0</v>
      </c>
      <c r="FX40" s="43">
        <v>0</v>
      </c>
      <c r="FY40" s="43">
        <v>0</v>
      </c>
      <c r="FZ40" s="43">
        <v>0</v>
      </c>
      <c r="GA40" s="43">
        <v>0</v>
      </c>
      <c r="GB40" s="43">
        <v>0</v>
      </c>
      <c r="GC40" s="43">
        <v>2.9005059021899999E-2</v>
      </c>
      <c r="GD40" s="43">
        <v>0</v>
      </c>
    </row>
    <row r="41" spans="1:186" ht="16.5" x14ac:dyDescent="0.3">
      <c r="A41" s="21" t="s">
        <v>300</v>
      </c>
      <c r="B41" s="22" t="s">
        <v>1</v>
      </c>
      <c r="C41" s="23">
        <v>6.5</v>
      </c>
      <c r="D41" s="23" t="s">
        <v>183</v>
      </c>
      <c r="E41" s="24" t="s">
        <v>184</v>
      </c>
      <c r="F41" s="25" t="s">
        <v>301</v>
      </c>
      <c r="G41" s="26" t="s">
        <v>1</v>
      </c>
      <c r="H41" s="26" t="s">
        <v>184</v>
      </c>
      <c r="I41" s="50">
        <v>6.5</v>
      </c>
      <c r="J41" s="49" t="s">
        <v>221</v>
      </c>
      <c r="K41" s="49" t="s">
        <v>221</v>
      </c>
      <c r="L41" s="49" t="s">
        <v>221</v>
      </c>
      <c r="M41" s="49" t="s">
        <v>221</v>
      </c>
      <c r="N41" s="49" t="s">
        <v>221</v>
      </c>
      <c r="O41" s="49" t="s">
        <v>221</v>
      </c>
      <c r="P41" s="49" t="s">
        <v>221</v>
      </c>
      <c r="Q41" s="49" t="s">
        <v>221</v>
      </c>
      <c r="R41" s="49" t="s">
        <v>221</v>
      </c>
      <c r="S41" s="49" t="s">
        <v>221</v>
      </c>
      <c r="T41" s="49" t="s">
        <v>221</v>
      </c>
      <c r="U41" s="49" t="s">
        <v>221</v>
      </c>
      <c r="V41" s="49" t="s">
        <v>221</v>
      </c>
      <c r="W41" s="49" t="s">
        <v>221</v>
      </c>
      <c r="X41" s="49" t="s">
        <v>221</v>
      </c>
      <c r="Y41" s="49" t="s">
        <v>221</v>
      </c>
      <c r="Z41" s="49" t="s">
        <v>221</v>
      </c>
      <c r="AA41" s="49" t="s">
        <v>221</v>
      </c>
      <c r="AB41" s="49" t="s">
        <v>221</v>
      </c>
      <c r="AC41" s="49" t="s">
        <v>221</v>
      </c>
      <c r="AD41" s="32">
        <v>91.05</v>
      </c>
      <c r="AE41" s="32">
        <v>124.935</v>
      </c>
      <c r="AF41" s="23" t="s">
        <v>183</v>
      </c>
      <c r="AG41" s="33">
        <v>160.1</v>
      </c>
      <c r="AH41" s="33">
        <v>18.2</v>
      </c>
      <c r="AI41" s="34">
        <f t="shared" ref="AI41:AI47" si="14">AE41/AG41*100</f>
        <v>78.035602748282329</v>
      </c>
      <c r="AJ41" s="34">
        <f t="shared" ref="AJ41:AJ47" si="15">AE41/AH41*100</f>
        <v>686.45604395604391</v>
      </c>
      <c r="AK41" s="35">
        <v>160.1</v>
      </c>
      <c r="AL41" s="36">
        <f t="shared" ref="AL41:AL47" si="16">(AE41/AK41)*100</f>
        <v>78.035602748282329</v>
      </c>
      <c r="AM41" s="37">
        <v>18.2</v>
      </c>
      <c r="AN41" s="38">
        <f t="shared" ref="AN41:AN47" si="17">(AE41/AM41)*100</f>
        <v>686.45604395604391</v>
      </c>
      <c r="AO41" s="49" t="s">
        <v>221</v>
      </c>
      <c r="AP41" s="49" t="s">
        <v>221</v>
      </c>
      <c r="AQ41" s="49" t="s">
        <v>221</v>
      </c>
      <c r="AR41" s="49" t="s">
        <v>221</v>
      </c>
      <c r="AS41" s="49" t="s">
        <v>221</v>
      </c>
      <c r="AT41" s="49" t="s">
        <v>221</v>
      </c>
      <c r="AU41" s="49" t="s">
        <v>221</v>
      </c>
      <c r="AV41" s="49" t="s">
        <v>221</v>
      </c>
      <c r="AW41" s="49" t="s">
        <v>221</v>
      </c>
      <c r="AX41" s="49" t="s">
        <v>221</v>
      </c>
      <c r="AY41" s="49" t="s">
        <v>221</v>
      </c>
      <c r="AZ41" s="49" t="s">
        <v>221</v>
      </c>
      <c r="BA41" s="49" t="s">
        <v>221</v>
      </c>
      <c r="BB41" s="49" t="s">
        <v>221</v>
      </c>
      <c r="BC41" s="49" t="s">
        <v>221</v>
      </c>
      <c r="BD41" s="49" t="s">
        <v>221</v>
      </c>
      <c r="BE41" s="49" t="s">
        <v>221</v>
      </c>
      <c r="BF41" s="49" t="s">
        <v>221</v>
      </c>
      <c r="BG41" s="49" t="s">
        <v>221</v>
      </c>
      <c r="BH41" s="49" t="s">
        <v>221</v>
      </c>
      <c r="BI41" s="49" t="s">
        <v>221</v>
      </c>
      <c r="BJ41" s="49" t="s">
        <v>221</v>
      </c>
      <c r="BK41" s="49" t="s">
        <v>221</v>
      </c>
      <c r="BL41" s="49" t="s">
        <v>221</v>
      </c>
      <c r="BM41" s="49" t="s">
        <v>221</v>
      </c>
      <c r="BN41" s="49" t="s">
        <v>221</v>
      </c>
      <c r="BO41" s="49" t="s">
        <v>221</v>
      </c>
      <c r="BP41" s="49" t="s">
        <v>221</v>
      </c>
      <c r="BQ41" s="49" t="s">
        <v>221</v>
      </c>
      <c r="BR41" s="49" t="s">
        <v>221</v>
      </c>
      <c r="BS41" s="49" t="s">
        <v>221</v>
      </c>
      <c r="BT41" s="49" t="s">
        <v>221</v>
      </c>
      <c r="BU41" s="49" t="s">
        <v>221</v>
      </c>
      <c r="BV41" s="49" t="s">
        <v>221</v>
      </c>
      <c r="BW41" s="49" t="s">
        <v>221</v>
      </c>
      <c r="BX41" s="49" t="s">
        <v>221</v>
      </c>
      <c r="BY41" s="49" t="s">
        <v>221</v>
      </c>
      <c r="BZ41" s="49" t="s">
        <v>221</v>
      </c>
      <c r="CA41" s="49" t="s">
        <v>221</v>
      </c>
      <c r="CB41" s="49" t="s">
        <v>221</v>
      </c>
      <c r="CC41" s="49" t="s">
        <v>221</v>
      </c>
      <c r="CD41" s="49" t="s">
        <v>221</v>
      </c>
      <c r="CE41" s="49" t="s">
        <v>221</v>
      </c>
      <c r="CF41" s="49" t="s">
        <v>221</v>
      </c>
      <c r="CG41" s="49" t="s">
        <v>221</v>
      </c>
      <c r="CH41" s="49" t="s">
        <v>221</v>
      </c>
      <c r="CI41" s="49" t="s">
        <v>221</v>
      </c>
      <c r="CJ41" s="49" t="s">
        <v>221</v>
      </c>
      <c r="CK41" s="49" t="s">
        <v>221</v>
      </c>
      <c r="CL41" s="49" t="s">
        <v>221</v>
      </c>
      <c r="CM41" s="49" t="s">
        <v>221</v>
      </c>
      <c r="CN41" s="49" t="s">
        <v>221</v>
      </c>
      <c r="CO41" s="49" t="s">
        <v>221</v>
      </c>
      <c r="CP41" s="49" t="s">
        <v>221</v>
      </c>
      <c r="CQ41" s="49" t="s">
        <v>221</v>
      </c>
      <c r="CR41" s="49" t="s">
        <v>221</v>
      </c>
      <c r="CS41" s="49" t="s">
        <v>221</v>
      </c>
      <c r="CT41" s="49" t="s">
        <v>221</v>
      </c>
      <c r="CU41" s="49" t="s">
        <v>221</v>
      </c>
      <c r="CV41" s="49" t="s">
        <v>221</v>
      </c>
      <c r="CW41" s="49" t="s">
        <v>221</v>
      </c>
      <c r="CX41" s="49" t="s">
        <v>221</v>
      </c>
      <c r="CY41" s="49" t="s">
        <v>221</v>
      </c>
      <c r="CZ41" s="49" t="s">
        <v>221</v>
      </c>
      <c r="DA41" s="49" t="s">
        <v>221</v>
      </c>
      <c r="DB41" s="49" t="s">
        <v>221</v>
      </c>
      <c r="DC41" s="49" t="s">
        <v>221</v>
      </c>
      <c r="DD41" s="49" t="s">
        <v>221</v>
      </c>
      <c r="DE41" s="49" t="s">
        <v>221</v>
      </c>
      <c r="DF41" s="49" t="s">
        <v>221</v>
      </c>
      <c r="DG41" s="49" t="s">
        <v>221</v>
      </c>
      <c r="DH41" s="49" t="s">
        <v>221</v>
      </c>
      <c r="DI41" s="49" t="s">
        <v>221</v>
      </c>
      <c r="DJ41" s="49" t="s">
        <v>221</v>
      </c>
      <c r="DK41" s="49" t="s">
        <v>221</v>
      </c>
      <c r="DL41" s="49" t="s">
        <v>221</v>
      </c>
      <c r="DM41" s="49" t="s">
        <v>221</v>
      </c>
      <c r="DN41" s="49" t="s">
        <v>221</v>
      </c>
      <c r="DO41" s="49" t="s">
        <v>221</v>
      </c>
      <c r="DP41" s="49" t="s">
        <v>221</v>
      </c>
      <c r="DQ41" s="49" t="s">
        <v>221</v>
      </c>
      <c r="DR41" s="49" t="s">
        <v>221</v>
      </c>
      <c r="DS41" s="49" t="s">
        <v>221</v>
      </c>
      <c r="DT41" s="49" t="s">
        <v>221</v>
      </c>
      <c r="DU41" s="49" t="s">
        <v>221</v>
      </c>
      <c r="DV41" s="49" t="s">
        <v>221</v>
      </c>
      <c r="DW41" s="49" t="s">
        <v>221</v>
      </c>
      <c r="DX41" s="49" t="s">
        <v>221</v>
      </c>
      <c r="DY41" s="49" t="s">
        <v>221</v>
      </c>
      <c r="DZ41" s="49" t="s">
        <v>221</v>
      </c>
      <c r="EA41" s="49" t="s">
        <v>221</v>
      </c>
      <c r="EB41" s="49" t="s">
        <v>221</v>
      </c>
      <c r="EC41" s="49" t="s">
        <v>221</v>
      </c>
      <c r="ED41" s="49" t="s">
        <v>221</v>
      </c>
      <c r="EE41" s="49" t="s">
        <v>221</v>
      </c>
      <c r="EF41" s="49" t="s">
        <v>221</v>
      </c>
      <c r="EG41" s="49" t="s">
        <v>221</v>
      </c>
      <c r="EH41" s="49" t="s">
        <v>221</v>
      </c>
      <c r="EI41" s="49" t="s">
        <v>221</v>
      </c>
      <c r="EJ41" s="49" t="s">
        <v>221</v>
      </c>
      <c r="EK41" s="49" t="s">
        <v>221</v>
      </c>
      <c r="EL41" s="49" t="s">
        <v>221</v>
      </c>
      <c r="EM41" s="49" t="s">
        <v>221</v>
      </c>
      <c r="EN41" s="49" t="s">
        <v>221</v>
      </c>
      <c r="EO41" s="49" t="s">
        <v>221</v>
      </c>
      <c r="EP41" s="49" t="s">
        <v>221</v>
      </c>
      <c r="EQ41" s="49" t="s">
        <v>221</v>
      </c>
      <c r="ER41" s="49" t="s">
        <v>221</v>
      </c>
      <c r="ES41" s="49" t="s">
        <v>221</v>
      </c>
      <c r="ET41" s="49" t="s">
        <v>221</v>
      </c>
      <c r="EU41" s="49" t="s">
        <v>221</v>
      </c>
      <c r="EV41" s="49" t="s">
        <v>221</v>
      </c>
      <c r="EW41" s="49" t="s">
        <v>221</v>
      </c>
      <c r="EX41" s="49" t="s">
        <v>221</v>
      </c>
      <c r="EY41" s="49" t="s">
        <v>221</v>
      </c>
      <c r="EZ41" s="49" t="s">
        <v>221</v>
      </c>
      <c r="FA41" s="49" t="s">
        <v>221</v>
      </c>
      <c r="FB41" s="49" t="s">
        <v>221</v>
      </c>
      <c r="FC41" s="49" t="s">
        <v>221</v>
      </c>
      <c r="FD41" s="49" t="s">
        <v>221</v>
      </c>
      <c r="FE41" s="49" t="s">
        <v>221</v>
      </c>
      <c r="FF41" s="49" t="s">
        <v>221</v>
      </c>
      <c r="FG41" s="49" t="s">
        <v>221</v>
      </c>
      <c r="FH41" s="49" t="s">
        <v>221</v>
      </c>
      <c r="FI41" s="49" t="s">
        <v>221</v>
      </c>
      <c r="FJ41" s="49" t="s">
        <v>221</v>
      </c>
      <c r="FK41" s="49" t="s">
        <v>221</v>
      </c>
      <c r="FL41" s="49" t="s">
        <v>221</v>
      </c>
      <c r="FM41" s="49" t="s">
        <v>221</v>
      </c>
      <c r="FN41" s="49" t="s">
        <v>221</v>
      </c>
      <c r="FO41" s="49" t="s">
        <v>221</v>
      </c>
      <c r="FP41" s="49" t="s">
        <v>221</v>
      </c>
      <c r="FQ41" s="49" t="s">
        <v>221</v>
      </c>
      <c r="FR41" s="49" t="s">
        <v>221</v>
      </c>
      <c r="FS41" s="49" t="s">
        <v>221</v>
      </c>
      <c r="FT41" s="49" t="s">
        <v>221</v>
      </c>
      <c r="FU41" s="49" t="s">
        <v>221</v>
      </c>
      <c r="FV41" s="49" t="s">
        <v>221</v>
      </c>
      <c r="FW41" s="49" t="s">
        <v>221</v>
      </c>
      <c r="FX41" s="49" t="s">
        <v>221</v>
      </c>
      <c r="FY41" s="49" t="s">
        <v>221</v>
      </c>
      <c r="FZ41" s="49" t="s">
        <v>221</v>
      </c>
      <c r="GA41" s="49" t="s">
        <v>221</v>
      </c>
      <c r="GB41" s="49" t="s">
        <v>221</v>
      </c>
      <c r="GC41" s="49" t="s">
        <v>221</v>
      </c>
      <c r="GD41" s="49" t="s">
        <v>221</v>
      </c>
    </row>
    <row r="42" spans="1:186" ht="16.5" x14ac:dyDescent="0.3">
      <c r="A42" s="21" t="s">
        <v>302</v>
      </c>
      <c r="B42" s="22" t="s">
        <v>1</v>
      </c>
      <c r="C42" s="23">
        <v>7.25</v>
      </c>
      <c r="D42" s="23" t="s">
        <v>183</v>
      </c>
      <c r="E42" s="24" t="s">
        <v>243</v>
      </c>
      <c r="F42" s="25" t="s">
        <v>303</v>
      </c>
      <c r="G42" s="26" t="s">
        <v>1</v>
      </c>
      <c r="H42" s="51" t="s">
        <v>243</v>
      </c>
      <c r="I42" s="52">
        <v>7</v>
      </c>
      <c r="J42" s="52">
        <v>120</v>
      </c>
      <c r="K42" s="52">
        <v>24</v>
      </c>
      <c r="L42" s="53">
        <f t="shared" ref="L42:L49" si="18">K42/(J42/100)^2</f>
        <v>16.666666666666668</v>
      </c>
      <c r="M42" s="54">
        <v>74</v>
      </c>
      <c r="N42" s="30" t="s">
        <v>186</v>
      </c>
      <c r="O42" s="30" t="s">
        <v>186</v>
      </c>
      <c r="P42" s="30" t="s">
        <v>186</v>
      </c>
      <c r="Q42" s="30" t="s">
        <v>186</v>
      </c>
      <c r="R42" s="30" t="s">
        <v>186</v>
      </c>
      <c r="S42" s="30" t="s">
        <v>186</v>
      </c>
      <c r="T42" s="30" t="s">
        <v>186</v>
      </c>
      <c r="U42" s="30" t="s">
        <v>186</v>
      </c>
      <c r="V42" s="30" t="s">
        <v>186</v>
      </c>
      <c r="W42" s="30" t="s">
        <v>186</v>
      </c>
      <c r="X42" s="25">
        <v>10237.08512289041</v>
      </c>
      <c r="Y42" s="25">
        <v>1683.1973627296138</v>
      </c>
      <c r="Z42" s="25">
        <v>594.26960682490324</v>
      </c>
      <c r="AA42" s="25">
        <v>3171.0862062392252</v>
      </c>
      <c r="AB42" s="25">
        <v>840.72357573003126</v>
      </c>
      <c r="AC42" s="25">
        <v>841.77740012120489</v>
      </c>
      <c r="AD42" s="32">
        <v>187</v>
      </c>
      <c r="AE42" s="32">
        <v>36.172499999999999</v>
      </c>
      <c r="AF42" s="23" t="s">
        <v>183</v>
      </c>
      <c r="AG42" s="33">
        <v>138.35</v>
      </c>
      <c r="AH42" s="33">
        <v>18.2</v>
      </c>
      <c r="AI42" s="34">
        <f t="shared" si="14"/>
        <v>26.145645102999637</v>
      </c>
      <c r="AJ42" s="34">
        <f t="shared" si="15"/>
        <v>198.75</v>
      </c>
      <c r="AK42" s="35">
        <v>138.35</v>
      </c>
      <c r="AL42" s="36">
        <f t="shared" si="16"/>
        <v>26.145645102999637</v>
      </c>
      <c r="AM42" s="37">
        <v>18.2</v>
      </c>
      <c r="AN42" s="38">
        <f t="shared" si="17"/>
        <v>198.75</v>
      </c>
      <c r="AO42" s="39">
        <v>955924.41895203199</v>
      </c>
      <c r="AP42" s="39">
        <v>128661580.182788</v>
      </c>
      <c r="AQ42" s="39">
        <v>47991108.042808197</v>
      </c>
      <c r="AR42" s="39">
        <v>60140383.0666769</v>
      </c>
      <c r="AT42" s="47">
        <v>3.0354131534600002E-3</v>
      </c>
      <c r="AU42" s="47">
        <v>0.46694772344000002</v>
      </c>
      <c r="AV42" s="47">
        <v>1.01180438449E-3</v>
      </c>
      <c r="AW42" s="47">
        <v>6.5092748735200004E-2</v>
      </c>
      <c r="AX42" s="47">
        <v>0</v>
      </c>
      <c r="AY42" s="47">
        <v>0.46357504215899997</v>
      </c>
      <c r="AZ42" s="47">
        <v>0</v>
      </c>
      <c r="BA42" s="47">
        <v>3.37268128162E-4</v>
      </c>
      <c r="BB42" s="47">
        <v>0</v>
      </c>
      <c r="BC42" s="47">
        <v>0</v>
      </c>
      <c r="BD42" s="47">
        <v>0</v>
      </c>
      <c r="BE42" s="47">
        <v>0</v>
      </c>
      <c r="BF42" s="47">
        <v>0</v>
      </c>
      <c r="BG42" s="48"/>
      <c r="BH42" s="43">
        <v>0</v>
      </c>
      <c r="BI42" s="43">
        <v>0</v>
      </c>
      <c r="BJ42" s="43">
        <v>0</v>
      </c>
      <c r="BK42" s="43">
        <v>0</v>
      </c>
      <c r="BL42" s="43">
        <v>0</v>
      </c>
      <c r="BM42" s="43">
        <v>0</v>
      </c>
      <c r="BN42" s="43">
        <v>0</v>
      </c>
      <c r="BO42" s="43">
        <v>0</v>
      </c>
      <c r="BP42" s="43">
        <v>0</v>
      </c>
      <c r="BQ42" s="43">
        <v>0</v>
      </c>
      <c r="BR42" s="43">
        <v>0</v>
      </c>
      <c r="BS42" s="43">
        <v>0</v>
      </c>
      <c r="BT42" s="43">
        <v>0.34317032040500001</v>
      </c>
      <c r="BU42" s="43">
        <v>3.9291736930899997E-2</v>
      </c>
      <c r="BV42" s="43">
        <v>1.5514333895400001E-2</v>
      </c>
      <c r="BW42" s="43">
        <v>0</v>
      </c>
      <c r="BX42" s="43">
        <v>6.5598650927500002E-2</v>
      </c>
      <c r="BY42" s="43">
        <v>0</v>
      </c>
      <c r="BZ42" s="43">
        <v>0</v>
      </c>
      <c r="CA42" s="43">
        <v>4.89038785835E-3</v>
      </c>
      <c r="CB42" s="43">
        <v>4.0472175379400004E-3</v>
      </c>
      <c r="CC42" s="43">
        <v>7.58853288364E-3</v>
      </c>
      <c r="CD42" s="43">
        <v>0</v>
      </c>
      <c r="CE42" s="43">
        <v>3.2209106239499997E-2</v>
      </c>
      <c r="CF42" s="43">
        <v>0</v>
      </c>
      <c r="CG42" s="43">
        <v>8.9376053962900003E-3</v>
      </c>
      <c r="CH42" s="43">
        <v>5.7335581787499998E-3</v>
      </c>
      <c r="CI42" s="43">
        <v>3.37268128162E-4</v>
      </c>
      <c r="CJ42" s="43">
        <v>0</v>
      </c>
      <c r="CK42" s="43">
        <v>0</v>
      </c>
      <c r="CL42" s="43">
        <v>1.3490725126499999E-3</v>
      </c>
      <c r="CM42" s="43">
        <v>0</v>
      </c>
      <c r="CN42" s="43">
        <v>0</v>
      </c>
      <c r="CO42" s="43">
        <v>0</v>
      </c>
      <c r="CP42" s="43">
        <v>0</v>
      </c>
      <c r="CQ42" s="43">
        <v>0</v>
      </c>
      <c r="CR42" s="43">
        <v>0</v>
      </c>
      <c r="CS42" s="43">
        <v>3.37268128162E-4</v>
      </c>
      <c r="CT42" s="43">
        <v>0</v>
      </c>
      <c r="CU42" s="43">
        <v>0</v>
      </c>
      <c r="CV42" s="43">
        <v>0</v>
      </c>
      <c r="CW42" s="43">
        <v>0</v>
      </c>
      <c r="CX42" s="43">
        <v>0</v>
      </c>
      <c r="CY42" s="43">
        <v>0</v>
      </c>
      <c r="CZ42" s="43">
        <v>3.0354131534600002E-3</v>
      </c>
      <c r="DA42" s="43">
        <v>0</v>
      </c>
      <c r="DB42" s="43">
        <v>0</v>
      </c>
      <c r="DC42" s="43">
        <v>0</v>
      </c>
      <c r="DD42" s="43">
        <v>1.6357504215900001E-2</v>
      </c>
      <c r="DE42" s="43">
        <v>2.0404721753799999E-2</v>
      </c>
      <c r="DF42" s="43">
        <v>0</v>
      </c>
      <c r="DG42" s="43">
        <v>0.125969645868</v>
      </c>
      <c r="DH42" s="43">
        <v>0</v>
      </c>
      <c r="DI42" s="43">
        <v>0</v>
      </c>
      <c r="DJ42" s="43">
        <v>0</v>
      </c>
      <c r="DK42" s="43">
        <v>3.37268128162E-4</v>
      </c>
      <c r="DL42" s="43">
        <v>0</v>
      </c>
      <c r="DM42" s="43">
        <v>0</v>
      </c>
      <c r="DN42" s="43">
        <v>0</v>
      </c>
      <c r="DO42" s="43">
        <v>0</v>
      </c>
      <c r="DP42" s="43">
        <v>1.3490725126499999E-3</v>
      </c>
      <c r="DQ42" s="43">
        <v>4.72175379427E-3</v>
      </c>
      <c r="DR42" s="43">
        <v>0</v>
      </c>
      <c r="DS42" s="43">
        <v>9.3760539628999995E-2</v>
      </c>
      <c r="DT42" s="43">
        <v>0</v>
      </c>
      <c r="DU42" s="43">
        <v>6.74536256324E-4</v>
      </c>
      <c r="DV42" s="43">
        <v>0</v>
      </c>
      <c r="DW42" s="43">
        <v>0</v>
      </c>
      <c r="DX42" s="43">
        <v>0</v>
      </c>
      <c r="DY42" s="43">
        <v>0</v>
      </c>
      <c r="DZ42" s="43">
        <v>1.85497470489E-3</v>
      </c>
      <c r="EA42" s="43">
        <v>0</v>
      </c>
      <c r="EB42" s="43">
        <v>0.15902192242800001</v>
      </c>
      <c r="EC42" s="43">
        <v>0</v>
      </c>
      <c r="ED42" s="43">
        <v>8.2630691399700005E-3</v>
      </c>
      <c r="EE42" s="43">
        <v>0</v>
      </c>
      <c r="EF42" s="43">
        <v>0</v>
      </c>
      <c r="EG42" s="43">
        <v>1.0792580101199999E-2</v>
      </c>
      <c r="EH42" s="43">
        <v>0</v>
      </c>
      <c r="EI42" s="43">
        <v>0</v>
      </c>
      <c r="EJ42" s="43">
        <v>0</v>
      </c>
      <c r="EK42" s="43">
        <v>0</v>
      </c>
      <c r="EL42" s="43">
        <v>0</v>
      </c>
      <c r="EM42" s="43">
        <v>1.3490725126499999E-3</v>
      </c>
      <c r="EN42" s="43">
        <v>0</v>
      </c>
      <c r="EO42" s="43">
        <v>0</v>
      </c>
      <c r="EP42" s="43">
        <v>3.37268128162E-4</v>
      </c>
      <c r="EQ42" s="43">
        <v>0</v>
      </c>
      <c r="ER42" s="43">
        <v>0</v>
      </c>
      <c r="ES42" s="43">
        <v>0</v>
      </c>
      <c r="ET42" s="43">
        <v>0</v>
      </c>
      <c r="EU42" s="43">
        <v>0</v>
      </c>
      <c r="EV42" s="43">
        <v>0</v>
      </c>
      <c r="EW42" s="43">
        <v>0</v>
      </c>
      <c r="EX42" s="43">
        <v>0</v>
      </c>
      <c r="EY42" s="43">
        <v>1.3153456998300001E-2</v>
      </c>
      <c r="EZ42" s="43">
        <v>0</v>
      </c>
      <c r="FA42" s="43">
        <v>0</v>
      </c>
      <c r="FB42" s="43">
        <v>0</v>
      </c>
      <c r="FC42" s="43">
        <v>0</v>
      </c>
      <c r="FD42" s="43">
        <v>0</v>
      </c>
      <c r="FE42" s="43">
        <v>5.2276559865099999E-3</v>
      </c>
      <c r="FF42" s="43">
        <v>0</v>
      </c>
      <c r="FG42" s="43">
        <v>0</v>
      </c>
      <c r="FH42" s="43">
        <v>0</v>
      </c>
      <c r="FI42" s="43">
        <v>0</v>
      </c>
      <c r="FJ42" s="43">
        <v>0</v>
      </c>
      <c r="FK42" s="43">
        <v>0</v>
      </c>
      <c r="FL42" s="43">
        <v>0</v>
      </c>
      <c r="FM42" s="43">
        <v>0</v>
      </c>
      <c r="FN42" s="43">
        <v>0</v>
      </c>
      <c r="FO42" s="43">
        <v>1.01180438449E-3</v>
      </c>
      <c r="FP42" s="43">
        <v>0</v>
      </c>
      <c r="FQ42" s="43">
        <v>0</v>
      </c>
      <c r="FR42" s="43">
        <v>0</v>
      </c>
      <c r="FS42" s="43">
        <v>0</v>
      </c>
      <c r="FT42" s="43">
        <v>0</v>
      </c>
      <c r="FU42" s="43">
        <v>0</v>
      </c>
      <c r="FV42" s="43">
        <v>0</v>
      </c>
      <c r="FW42" s="43">
        <v>0</v>
      </c>
      <c r="FX42" s="43">
        <v>0</v>
      </c>
      <c r="FY42" s="43">
        <v>0</v>
      </c>
      <c r="FZ42" s="43">
        <v>0</v>
      </c>
      <c r="GA42" s="43">
        <v>0</v>
      </c>
      <c r="GB42" s="43">
        <v>3.37268128162E-4</v>
      </c>
      <c r="GC42" s="43">
        <v>3.0354131534600002E-3</v>
      </c>
      <c r="GD42" s="43">
        <v>0</v>
      </c>
    </row>
    <row r="43" spans="1:186" ht="16.5" customHeight="1" x14ac:dyDescent="0.3">
      <c r="A43" s="21" t="s">
        <v>304</v>
      </c>
      <c r="B43" s="22" t="s">
        <v>1</v>
      </c>
      <c r="C43" s="23">
        <v>11</v>
      </c>
      <c r="D43" s="23" t="s">
        <v>183</v>
      </c>
      <c r="E43" s="24" t="s">
        <v>184</v>
      </c>
      <c r="F43" s="25" t="s">
        <v>305</v>
      </c>
      <c r="G43" s="26" t="s">
        <v>1</v>
      </c>
      <c r="H43" s="26" t="s">
        <v>184</v>
      </c>
      <c r="I43" s="27">
        <v>11</v>
      </c>
      <c r="J43" s="27">
        <v>146</v>
      </c>
      <c r="K43" s="27">
        <v>33</v>
      </c>
      <c r="L43" s="28">
        <f t="shared" si="18"/>
        <v>15.481328579470823</v>
      </c>
      <c r="M43" s="29">
        <v>17</v>
      </c>
      <c r="N43" s="30" t="s">
        <v>186</v>
      </c>
      <c r="O43" s="30" t="s">
        <v>186</v>
      </c>
      <c r="P43" s="30" t="s">
        <v>186</v>
      </c>
      <c r="Q43" s="30" t="s">
        <v>186</v>
      </c>
      <c r="R43" s="30" t="s">
        <v>186</v>
      </c>
      <c r="S43" s="30" t="s">
        <v>186</v>
      </c>
      <c r="T43" s="30" t="s">
        <v>186</v>
      </c>
      <c r="U43" s="30" t="s">
        <v>186</v>
      </c>
      <c r="V43" s="30" t="s">
        <v>186</v>
      </c>
      <c r="W43" s="30" t="s">
        <v>186</v>
      </c>
      <c r="X43" s="25">
        <v>7257.8854492471182</v>
      </c>
      <c r="Y43" s="25">
        <v>2181.6017886514096</v>
      </c>
      <c r="Z43" s="25">
        <v>551.62542999532786</v>
      </c>
      <c r="AA43" s="25">
        <v>2641.2551154440084</v>
      </c>
      <c r="AB43" s="25">
        <v>730.04103154559471</v>
      </c>
      <c r="AC43" s="25">
        <v>983.02513029507099</v>
      </c>
      <c r="AD43" s="32">
        <v>737.2</v>
      </c>
      <c r="AE43" s="32">
        <v>154.07249999999999</v>
      </c>
      <c r="AF43" s="23" t="s">
        <v>183</v>
      </c>
      <c r="AG43" s="33">
        <v>66.2</v>
      </c>
      <c r="AH43" s="33">
        <v>14.7</v>
      </c>
      <c r="AI43" s="34">
        <f t="shared" si="14"/>
        <v>232.73791540785496</v>
      </c>
      <c r="AJ43" s="34">
        <f t="shared" si="15"/>
        <v>1048.1122448979593</v>
      </c>
      <c r="AK43" s="35">
        <v>66.2</v>
      </c>
      <c r="AL43" s="36">
        <f t="shared" si="16"/>
        <v>232.73791540785496</v>
      </c>
      <c r="AM43" s="37">
        <v>14.7</v>
      </c>
      <c r="AN43" s="38">
        <f t="shared" si="17"/>
        <v>1048.1122448979593</v>
      </c>
      <c r="AO43" s="39">
        <v>6340035.7091766298</v>
      </c>
      <c r="AP43" s="39">
        <v>6591592.8893340798</v>
      </c>
      <c r="AQ43" s="39">
        <v>3027540.9303740198</v>
      </c>
      <c r="AR43" s="39">
        <v>1241484.0355261399</v>
      </c>
      <c r="AT43" s="47">
        <v>7.1838111298499999E-2</v>
      </c>
      <c r="AU43" s="47">
        <v>0.76644182124799998</v>
      </c>
      <c r="AV43" s="47">
        <v>0</v>
      </c>
      <c r="AW43" s="47">
        <v>4.5868465429999998E-2</v>
      </c>
      <c r="AX43" s="47">
        <v>0</v>
      </c>
      <c r="AY43" s="47">
        <v>0.11585160202399999</v>
      </c>
      <c r="AZ43" s="47">
        <v>0</v>
      </c>
      <c r="BA43" s="47">
        <v>0</v>
      </c>
      <c r="BB43" s="47">
        <v>0</v>
      </c>
      <c r="BC43" s="47">
        <v>0</v>
      </c>
      <c r="BD43" s="47">
        <v>0</v>
      </c>
      <c r="BE43" s="47">
        <v>0</v>
      </c>
      <c r="BF43" s="47">
        <v>0</v>
      </c>
      <c r="BG43" s="48"/>
      <c r="BH43" s="43">
        <v>0</v>
      </c>
      <c r="BI43" s="43">
        <v>0</v>
      </c>
      <c r="BJ43" s="43">
        <v>0</v>
      </c>
      <c r="BK43" s="43">
        <v>0</v>
      </c>
      <c r="BL43" s="43">
        <v>0</v>
      </c>
      <c r="BM43" s="43">
        <v>8.4317032040500002E-4</v>
      </c>
      <c r="BN43" s="43">
        <v>0</v>
      </c>
      <c r="BO43" s="43">
        <v>0</v>
      </c>
      <c r="BP43" s="43">
        <v>0</v>
      </c>
      <c r="BQ43" s="43">
        <v>0</v>
      </c>
      <c r="BR43" s="43">
        <v>0</v>
      </c>
      <c r="BS43" s="43">
        <v>0</v>
      </c>
      <c r="BT43" s="43">
        <v>8.9207419898800003E-2</v>
      </c>
      <c r="BU43" s="43">
        <v>0</v>
      </c>
      <c r="BV43" s="43">
        <v>5.2276559865099999E-3</v>
      </c>
      <c r="BW43" s="43">
        <v>1.0118043844900001E-2</v>
      </c>
      <c r="BX43" s="43">
        <v>1.0455311973E-2</v>
      </c>
      <c r="BY43" s="43">
        <v>0</v>
      </c>
      <c r="BZ43" s="43">
        <v>0</v>
      </c>
      <c r="CA43" s="43">
        <v>0</v>
      </c>
      <c r="CB43" s="43">
        <v>0</v>
      </c>
      <c r="CC43" s="43">
        <v>0</v>
      </c>
      <c r="CD43" s="43">
        <v>0</v>
      </c>
      <c r="CE43" s="43">
        <v>4.1652613828E-2</v>
      </c>
      <c r="CF43" s="43">
        <v>0</v>
      </c>
      <c r="CG43" s="43">
        <v>5.0590219224299997E-4</v>
      </c>
      <c r="CH43" s="43">
        <v>0</v>
      </c>
      <c r="CI43" s="43">
        <v>3.70994940978E-3</v>
      </c>
      <c r="CJ43" s="43">
        <v>0</v>
      </c>
      <c r="CK43" s="43">
        <v>0</v>
      </c>
      <c r="CL43" s="43">
        <v>0</v>
      </c>
      <c r="CM43" s="43">
        <v>0</v>
      </c>
      <c r="CN43" s="43">
        <v>0</v>
      </c>
      <c r="CO43" s="43">
        <v>0</v>
      </c>
      <c r="CP43" s="43">
        <v>0</v>
      </c>
      <c r="CQ43" s="43">
        <v>0</v>
      </c>
      <c r="CR43" s="43">
        <v>0</v>
      </c>
      <c r="CS43" s="43">
        <v>1.01180438449E-3</v>
      </c>
      <c r="CT43" s="43">
        <v>0</v>
      </c>
      <c r="CU43" s="43">
        <v>0</v>
      </c>
      <c r="CV43" s="43">
        <v>0</v>
      </c>
      <c r="CW43" s="43">
        <v>4.2158516020200003E-3</v>
      </c>
      <c r="CX43" s="43">
        <v>0</v>
      </c>
      <c r="CY43" s="43">
        <v>0</v>
      </c>
      <c r="CZ43" s="43">
        <v>0</v>
      </c>
      <c r="DA43" s="43">
        <v>0</v>
      </c>
      <c r="DB43" s="43">
        <v>0</v>
      </c>
      <c r="DC43" s="43">
        <v>0</v>
      </c>
      <c r="DD43" s="43">
        <v>0</v>
      </c>
      <c r="DE43" s="43">
        <v>0</v>
      </c>
      <c r="DF43" s="43">
        <v>0</v>
      </c>
      <c r="DG43" s="43">
        <v>7.1500843170300005E-2</v>
      </c>
      <c r="DH43" s="43">
        <v>0</v>
      </c>
      <c r="DI43" s="43">
        <v>0</v>
      </c>
      <c r="DJ43" s="43">
        <v>0</v>
      </c>
      <c r="DK43" s="43">
        <v>0</v>
      </c>
      <c r="DL43" s="43">
        <v>0</v>
      </c>
      <c r="DM43" s="43">
        <v>0</v>
      </c>
      <c r="DN43" s="43">
        <v>0</v>
      </c>
      <c r="DO43" s="43">
        <v>0</v>
      </c>
      <c r="DP43" s="43">
        <v>0</v>
      </c>
      <c r="DQ43" s="43">
        <v>0.15935919055600001</v>
      </c>
      <c r="DR43" s="43">
        <v>0</v>
      </c>
      <c r="DS43" s="43">
        <v>0.23996627318700001</v>
      </c>
      <c r="DT43" s="43">
        <v>0</v>
      </c>
      <c r="DU43" s="43">
        <v>0</v>
      </c>
      <c r="DV43" s="43">
        <v>0</v>
      </c>
      <c r="DW43" s="43">
        <v>0</v>
      </c>
      <c r="DX43" s="43">
        <v>0</v>
      </c>
      <c r="DY43" s="43">
        <v>0</v>
      </c>
      <c r="DZ43" s="43">
        <v>6.7453625632400002E-3</v>
      </c>
      <c r="EA43" s="43">
        <v>4.0809443507599998E-2</v>
      </c>
      <c r="EB43" s="43">
        <v>5.3962900505899998E-3</v>
      </c>
      <c r="EC43" s="43">
        <v>0</v>
      </c>
      <c r="ED43" s="43">
        <v>5.8178752107900002E-2</v>
      </c>
      <c r="EE43" s="43">
        <v>0</v>
      </c>
      <c r="EF43" s="43">
        <v>0</v>
      </c>
      <c r="EG43" s="43">
        <v>2.8836424957799998E-2</v>
      </c>
      <c r="EH43" s="43">
        <v>0</v>
      </c>
      <c r="EI43" s="43">
        <v>0</v>
      </c>
      <c r="EJ43" s="43">
        <v>0</v>
      </c>
      <c r="EK43" s="43">
        <v>0</v>
      </c>
      <c r="EL43" s="43">
        <v>0</v>
      </c>
      <c r="EM43" s="43">
        <v>4.72175379427E-3</v>
      </c>
      <c r="EN43" s="43">
        <v>0</v>
      </c>
      <c r="EO43" s="43">
        <v>0</v>
      </c>
      <c r="EP43" s="43">
        <v>1.7706576728500002E-2</v>
      </c>
      <c r="EQ43" s="43">
        <v>0</v>
      </c>
      <c r="ER43" s="43">
        <v>0</v>
      </c>
      <c r="ES43" s="43">
        <v>0</v>
      </c>
      <c r="ET43" s="43">
        <v>0</v>
      </c>
      <c r="EU43" s="43">
        <v>0</v>
      </c>
      <c r="EV43" s="43">
        <v>0</v>
      </c>
      <c r="EW43" s="43">
        <v>0</v>
      </c>
      <c r="EX43" s="43">
        <v>0</v>
      </c>
      <c r="EY43" s="43">
        <v>0.12799325463700001</v>
      </c>
      <c r="EZ43" s="43">
        <v>0</v>
      </c>
      <c r="FA43" s="43">
        <v>0</v>
      </c>
      <c r="FB43" s="43">
        <v>0</v>
      </c>
      <c r="FC43" s="43">
        <v>0</v>
      </c>
      <c r="FD43" s="43">
        <v>0</v>
      </c>
      <c r="FE43" s="43">
        <v>0</v>
      </c>
      <c r="FF43" s="43">
        <v>0</v>
      </c>
      <c r="FG43" s="43">
        <v>0</v>
      </c>
      <c r="FH43" s="43">
        <v>0</v>
      </c>
      <c r="FI43" s="43">
        <v>0</v>
      </c>
      <c r="FJ43" s="43">
        <v>0</v>
      </c>
      <c r="FK43" s="43">
        <v>0</v>
      </c>
      <c r="FL43" s="43">
        <v>0</v>
      </c>
      <c r="FM43" s="43">
        <v>0</v>
      </c>
      <c r="FN43" s="43">
        <v>0</v>
      </c>
      <c r="FO43" s="43">
        <v>0</v>
      </c>
      <c r="FP43" s="43">
        <v>0</v>
      </c>
      <c r="FQ43" s="43">
        <v>0</v>
      </c>
      <c r="FR43" s="43">
        <v>0</v>
      </c>
      <c r="FS43" s="43">
        <v>0</v>
      </c>
      <c r="FT43" s="43">
        <v>0</v>
      </c>
      <c r="FU43" s="43">
        <v>0</v>
      </c>
      <c r="FV43" s="43">
        <v>0</v>
      </c>
      <c r="FW43" s="43">
        <v>0</v>
      </c>
      <c r="FX43" s="43">
        <v>0</v>
      </c>
      <c r="FY43" s="43">
        <v>0</v>
      </c>
      <c r="FZ43" s="43">
        <v>0</v>
      </c>
      <c r="GA43" s="43">
        <v>0</v>
      </c>
      <c r="GB43" s="43">
        <v>0</v>
      </c>
      <c r="GC43" s="43">
        <v>7.1838111298499999E-2</v>
      </c>
      <c r="GD43" s="43">
        <v>0</v>
      </c>
    </row>
    <row r="44" spans="1:186" ht="16.5" x14ac:dyDescent="0.3">
      <c r="A44" s="21" t="s">
        <v>306</v>
      </c>
      <c r="B44" s="57" t="s">
        <v>287</v>
      </c>
      <c r="C44" s="23">
        <v>12</v>
      </c>
      <c r="D44" s="23" t="s">
        <v>195</v>
      </c>
      <c r="E44" s="24" t="s">
        <v>184</v>
      </c>
      <c r="F44" s="25" t="s">
        <v>307</v>
      </c>
      <c r="G44" s="26" t="s">
        <v>289</v>
      </c>
      <c r="H44" s="26" t="s">
        <v>184</v>
      </c>
      <c r="I44" s="27">
        <v>12</v>
      </c>
      <c r="J44" s="27">
        <v>161</v>
      </c>
      <c r="K44" s="27">
        <v>49</v>
      </c>
      <c r="L44" s="28">
        <f t="shared" si="18"/>
        <v>18.903591682419659</v>
      </c>
      <c r="M44" s="29">
        <v>66</v>
      </c>
      <c r="N44" s="30" t="s">
        <v>186</v>
      </c>
      <c r="O44" s="30" t="s">
        <v>186</v>
      </c>
      <c r="P44" s="30" t="s">
        <v>186</v>
      </c>
      <c r="Q44" s="30" t="s">
        <v>186</v>
      </c>
      <c r="R44" s="30" t="s">
        <v>186</v>
      </c>
      <c r="S44" s="31" t="s">
        <v>186</v>
      </c>
      <c r="T44" s="30" t="s">
        <v>186</v>
      </c>
      <c r="U44" s="30" t="s">
        <v>186</v>
      </c>
      <c r="V44" s="30" t="s">
        <v>186</v>
      </c>
      <c r="W44" s="30" t="s">
        <v>186</v>
      </c>
      <c r="X44" s="25">
        <v>7517.6082904935092</v>
      </c>
      <c r="Y44" s="25">
        <v>2044.2539563562696</v>
      </c>
      <c r="Z44" s="25">
        <v>990.47134728434469</v>
      </c>
      <c r="AA44" s="25">
        <v>2364.7609997112536</v>
      </c>
      <c r="AB44" s="25">
        <v>1346.234677282094</v>
      </c>
      <c r="AC44" s="25">
        <v>1043.9492643974938</v>
      </c>
      <c r="AD44" s="32">
        <v>212.25</v>
      </c>
      <c r="AE44" s="32">
        <v>20.357500000000002</v>
      </c>
      <c r="AF44" s="23" t="s">
        <v>195</v>
      </c>
      <c r="AG44" s="33">
        <v>54.4</v>
      </c>
      <c r="AH44" s="33">
        <v>13.9</v>
      </c>
      <c r="AI44" s="34">
        <f t="shared" si="14"/>
        <v>37.421875000000007</v>
      </c>
      <c r="AJ44" s="34">
        <f t="shared" si="15"/>
        <v>146.4568345323741</v>
      </c>
      <c r="AK44" s="60">
        <v>54.4</v>
      </c>
      <c r="AL44" s="58">
        <f t="shared" si="16"/>
        <v>37.421875000000007</v>
      </c>
      <c r="AM44" s="37">
        <v>13.9</v>
      </c>
      <c r="AN44" s="61">
        <f t="shared" si="17"/>
        <v>146.4568345323741</v>
      </c>
      <c r="AO44" s="39">
        <v>10677590.523082901</v>
      </c>
      <c r="AP44" s="39">
        <v>11437290.0014484</v>
      </c>
      <c r="AQ44" s="39">
        <v>3490401.5005423999</v>
      </c>
      <c r="AR44" s="39">
        <v>4136300.5108403098</v>
      </c>
      <c r="AT44" s="47">
        <v>0.158347386172</v>
      </c>
      <c r="AU44" s="47">
        <v>0.61871838111300004</v>
      </c>
      <c r="AV44" s="47">
        <v>0</v>
      </c>
      <c r="AW44" s="47">
        <v>4.55311973019E-2</v>
      </c>
      <c r="AX44" s="47">
        <v>0</v>
      </c>
      <c r="AY44" s="47">
        <v>0.16981450252999999</v>
      </c>
      <c r="AZ44" s="47">
        <v>6.2394603709899996E-3</v>
      </c>
      <c r="BA44" s="47">
        <v>1.3490725126499999E-3</v>
      </c>
      <c r="BB44" s="47">
        <v>0</v>
      </c>
      <c r="BC44" s="47">
        <v>0</v>
      </c>
      <c r="BD44" s="47">
        <v>0</v>
      </c>
      <c r="BE44" s="47">
        <v>0</v>
      </c>
      <c r="BF44" s="47">
        <v>0</v>
      </c>
      <c r="BG44" s="48"/>
      <c r="BH44" s="43">
        <v>0</v>
      </c>
      <c r="BI44" s="43">
        <v>0</v>
      </c>
      <c r="BJ44" s="43">
        <v>6.2394603709899996E-3</v>
      </c>
      <c r="BK44" s="43">
        <v>0</v>
      </c>
      <c r="BL44" s="43">
        <v>0</v>
      </c>
      <c r="BM44" s="43">
        <v>0</v>
      </c>
      <c r="BN44" s="43">
        <v>0</v>
      </c>
      <c r="BO44" s="43">
        <v>0</v>
      </c>
      <c r="BP44" s="43">
        <v>0</v>
      </c>
      <c r="BQ44" s="43">
        <v>0</v>
      </c>
      <c r="BR44" s="43">
        <v>0</v>
      </c>
      <c r="BS44" s="43">
        <v>0</v>
      </c>
      <c r="BT44" s="43">
        <v>9.9325463743699993E-2</v>
      </c>
      <c r="BU44" s="43">
        <v>3.0354131534600002E-3</v>
      </c>
      <c r="BV44" s="43">
        <v>1.3490725126499999E-3</v>
      </c>
      <c r="BW44" s="43">
        <v>8.9376053962900003E-3</v>
      </c>
      <c r="BX44" s="43">
        <v>5.7166947723400002E-2</v>
      </c>
      <c r="BY44" s="43">
        <v>0</v>
      </c>
      <c r="BZ44" s="43">
        <v>0</v>
      </c>
      <c r="CA44" s="43">
        <v>0</v>
      </c>
      <c r="CB44" s="43">
        <v>1.97301854975E-2</v>
      </c>
      <c r="CC44" s="43">
        <v>0</v>
      </c>
      <c r="CD44" s="43">
        <v>0</v>
      </c>
      <c r="CE44" s="43">
        <v>0</v>
      </c>
      <c r="CF44" s="43">
        <v>0</v>
      </c>
      <c r="CG44" s="43">
        <v>2.2765598650899999E-2</v>
      </c>
      <c r="CH44" s="43">
        <v>0</v>
      </c>
      <c r="CI44" s="43">
        <v>3.0354131534600002E-3</v>
      </c>
      <c r="CJ44" s="43">
        <v>0</v>
      </c>
      <c r="CK44" s="43">
        <v>0</v>
      </c>
      <c r="CL44" s="43">
        <v>0</v>
      </c>
      <c r="CM44" s="43">
        <v>0</v>
      </c>
      <c r="CN44" s="43">
        <v>0</v>
      </c>
      <c r="CO44" s="43">
        <v>0</v>
      </c>
      <c r="CP44" s="43">
        <v>0</v>
      </c>
      <c r="CQ44" s="43">
        <v>0</v>
      </c>
      <c r="CR44" s="43">
        <v>0</v>
      </c>
      <c r="CS44" s="43">
        <v>0</v>
      </c>
      <c r="CT44" s="43">
        <v>0</v>
      </c>
      <c r="CU44" s="43">
        <v>0</v>
      </c>
      <c r="CV44" s="43">
        <v>0</v>
      </c>
      <c r="CW44" s="43">
        <v>0</v>
      </c>
      <c r="CX44" s="43">
        <v>0</v>
      </c>
      <c r="CY44" s="43">
        <v>0</v>
      </c>
      <c r="CZ44" s="43">
        <v>0</v>
      </c>
      <c r="DA44" s="43">
        <v>0</v>
      </c>
      <c r="DB44" s="43">
        <v>0</v>
      </c>
      <c r="DC44" s="43">
        <v>8.4317032040500002E-4</v>
      </c>
      <c r="DD44" s="43">
        <v>8.4317032040500002E-4</v>
      </c>
      <c r="DE44" s="43">
        <v>0</v>
      </c>
      <c r="DF44" s="43">
        <v>0</v>
      </c>
      <c r="DG44" s="43">
        <v>0.143507588533</v>
      </c>
      <c r="DH44" s="43">
        <v>5.3962900505899998E-3</v>
      </c>
      <c r="DI44" s="43">
        <v>5.0590219224299997E-4</v>
      </c>
      <c r="DJ44" s="43">
        <v>0</v>
      </c>
      <c r="DK44" s="43">
        <v>0</v>
      </c>
      <c r="DL44" s="43">
        <v>0</v>
      </c>
      <c r="DM44" s="43">
        <v>0</v>
      </c>
      <c r="DN44" s="43">
        <v>0</v>
      </c>
      <c r="DO44" s="43">
        <v>0</v>
      </c>
      <c r="DP44" s="43">
        <v>4.72175379427E-3</v>
      </c>
      <c r="DQ44" s="43">
        <v>5.9696458684699999E-2</v>
      </c>
      <c r="DR44" s="43">
        <v>0</v>
      </c>
      <c r="DS44" s="43">
        <v>5.26138279933E-2</v>
      </c>
      <c r="DT44" s="43">
        <v>1.82124789207E-2</v>
      </c>
      <c r="DU44" s="43">
        <v>1.6357504215900001E-2</v>
      </c>
      <c r="DV44" s="43">
        <v>0</v>
      </c>
      <c r="DW44" s="43">
        <v>0</v>
      </c>
      <c r="DX44" s="43">
        <v>1.01180438449E-3</v>
      </c>
      <c r="DY44" s="43">
        <v>0</v>
      </c>
      <c r="DZ44" s="43">
        <v>5.88532883642E-2</v>
      </c>
      <c r="EA44" s="43">
        <v>0</v>
      </c>
      <c r="EB44" s="43">
        <v>1.16357504216E-2</v>
      </c>
      <c r="EC44" s="43">
        <v>1.18043844857E-3</v>
      </c>
      <c r="ED44" s="43">
        <v>0.123271500843</v>
      </c>
      <c r="EE44" s="43">
        <v>0</v>
      </c>
      <c r="EF44" s="43">
        <v>1.85497470489E-3</v>
      </c>
      <c r="EG44" s="43">
        <v>3.9966273187200002E-2</v>
      </c>
      <c r="EH44" s="43">
        <v>0</v>
      </c>
      <c r="EI44" s="43">
        <v>6.74536256324E-4</v>
      </c>
      <c r="EJ44" s="43">
        <v>0</v>
      </c>
      <c r="EK44" s="43">
        <v>0</v>
      </c>
      <c r="EL44" s="43">
        <v>0</v>
      </c>
      <c r="EM44" s="43">
        <v>0</v>
      </c>
      <c r="EN44" s="43">
        <v>0</v>
      </c>
      <c r="EO44" s="43">
        <v>0</v>
      </c>
      <c r="EP44" s="43">
        <v>1.5682967959499999E-2</v>
      </c>
      <c r="EQ44" s="43">
        <v>0</v>
      </c>
      <c r="ER44" s="43">
        <v>0</v>
      </c>
      <c r="ES44" s="43">
        <v>0</v>
      </c>
      <c r="ET44" s="43">
        <v>0</v>
      </c>
      <c r="EU44" s="43">
        <v>0</v>
      </c>
      <c r="EV44" s="43">
        <v>0</v>
      </c>
      <c r="EW44" s="43">
        <v>0</v>
      </c>
      <c r="EX44" s="43">
        <v>0</v>
      </c>
      <c r="EY44" s="43">
        <v>6.1888701517699998E-2</v>
      </c>
      <c r="EZ44" s="43">
        <v>0</v>
      </c>
      <c r="FA44" s="43">
        <v>0</v>
      </c>
      <c r="FB44" s="43">
        <v>0</v>
      </c>
      <c r="FC44" s="43">
        <v>0</v>
      </c>
      <c r="FD44" s="43">
        <v>0</v>
      </c>
      <c r="FE44" s="43">
        <v>0</v>
      </c>
      <c r="FF44" s="43">
        <v>0</v>
      </c>
      <c r="FG44" s="43">
        <v>0</v>
      </c>
      <c r="FH44" s="43">
        <v>0</v>
      </c>
      <c r="FI44" s="43">
        <v>0</v>
      </c>
      <c r="FJ44" s="43">
        <v>0</v>
      </c>
      <c r="FK44" s="43">
        <v>0</v>
      </c>
      <c r="FL44" s="43">
        <v>0</v>
      </c>
      <c r="FM44" s="43">
        <v>0</v>
      </c>
      <c r="FN44" s="43">
        <v>0</v>
      </c>
      <c r="FO44" s="43">
        <v>0</v>
      </c>
      <c r="FP44" s="43">
        <v>0</v>
      </c>
      <c r="FQ44" s="43">
        <v>0</v>
      </c>
      <c r="FR44" s="43">
        <v>0</v>
      </c>
      <c r="FS44" s="43">
        <v>0</v>
      </c>
      <c r="FT44" s="43">
        <v>0</v>
      </c>
      <c r="FU44" s="43">
        <v>0</v>
      </c>
      <c r="FV44" s="43">
        <v>0</v>
      </c>
      <c r="FW44" s="43">
        <v>0</v>
      </c>
      <c r="FX44" s="43">
        <v>0</v>
      </c>
      <c r="FY44" s="43">
        <v>0</v>
      </c>
      <c r="FZ44" s="43">
        <v>0</v>
      </c>
      <c r="GA44" s="43">
        <v>0</v>
      </c>
      <c r="GB44" s="43">
        <v>1.3490725126499999E-3</v>
      </c>
      <c r="GC44" s="43">
        <v>0.158347386172</v>
      </c>
      <c r="GD44" s="43">
        <v>0</v>
      </c>
    </row>
    <row r="45" spans="1:186" ht="16.5" x14ac:dyDescent="0.3">
      <c r="A45" s="21" t="s">
        <v>308</v>
      </c>
      <c r="B45" s="57" t="s">
        <v>287</v>
      </c>
      <c r="C45" s="23">
        <v>14</v>
      </c>
      <c r="D45" s="23" t="s">
        <v>195</v>
      </c>
      <c r="E45" s="24" t="s">
        <v>184</v>
      </c>
      <c r="F45" s="25" t="s">
        <v>309</v>
      </c>
      <c r="G45" s="26" t="s">
        <v>289</v>
      </c>
      <c r="H45" s="26" t="s">
        <v>184</v>
      </c>
      <c r="I45" s="27">
        <v>14</v>
      </c>
      <c r="J45" s="27">
        <v>166</v>
      </c>
      <c r="K45" s="27">
        <v>55</v>
      </c>
      <c r="L45" s="28">
        <f t="shared" si="18"/>
        <v>19.959355494266223</v>
      </c>
      <c r="M45" s="29">
        <v>61</v>
      </c>
      <c r="N45" s="30" t="s">
        <v>186</v>
      </c>
      <c r="O45" s="30" t="s">
        <v>186</v>
      </c>
      <c r="P45" s="30" t="s">
        <v>186</v>
      </c>
      <c r="Q45" s="30" t="s">
        <v>186</v>
      </c>
      <c r="R45" s="30" t="s">
        <v>186</v>
      </c>
      <c r="S45" s="31" t="s">
        <v>186</v>
      </c>
      <c r="T45" s="30" t="s">
        <v>186</v>
      </c>
      <c r="U45" s="30" t="s">
        <v>310</v>
      </c>
      <c r="V45" s="30" t="s">
        <v>311</v>
      </c>
      <c r="W45" s="30" t="s">
        <v>186</v>
      </c>
      <c r="X45" s="25">
        <v>14688.082179360268</v>
      </c>
      <c r="Y45" s="25">
        <v>2955.1363095329434</v>
      </c>
      <c r="Z45" s="25">
        <v>762.88218298288018</v>
      </c>
      <c r="AA45" s="25">
        <v>5590.5047204393695</v>
      </c>
      <c r="AB45" s="25">
        <v>979.67314963459398</v>
      </c>
      <c r="AC45" s="25">
        <v>1570.2860563135325</v>
      </c>
      <c r="AD45" s="32">
        <v>232.25</v>
      </c>
      <c r="AE45" s="32">
        <v>49.22</v>
      </c>
      <c r="AF45" s="23" t="s">
        <v>195</v>
      </c>
      <c r="AG45" s="33">
        <v>54.4</v>
      </c>
      <c r="AH45" s="33">
        <v>13.9</v>
      </c>
      <c r="AI45" s="34">
        <f t="shared" si="14"/>
        <v>90.477941176470594</v>
      </c>
      <c r="AJ45" s="34">
        <f t="shared" si="15"/>
        <v>354.10071942446041</v>
      </c>
      <c r="AK45" s="60">
        <v>54.4</v>
      </c>
      <c r="AL45" s="58">
        <f t="shared" si="16"/>
        <v>90.477941176470594</v>
      </c>
      <c r="AM45" s="37">
        <v>13.9</v>
      </c>
      <c r="AN45" s="61">
        <f t="shared" si="17"/>
        <v>354.10071942446041</v>
      </c>
      <c r="AO45" s="39">
        <v>3500057.3222046201</v>
      </c>
      <c r="AP45" s="39">
        <v>222052478.598405</v>
      </c>
      <c r="AQ45" s="39">
        <v>19416574.300883301</v>
      </c>
      <c r="AR45" s="39">
        <v>41479014.711217299</v>
      </c>
      <c r="AT45" s="47">
        <v>8.4485666104599996E-2</v>
      </c>
      <c r="AU45" s="47">
        <v>0.77453625632400003</v>
      </c>
      <c r="AV45" s="47">
        <v>1.85497470489E-3</v>
      </c>
      <c r="AW45" s="47">
        <v>8.2630691399700005E-3</v>
      </c>
      <c r="AX45" s="47">
        <v>0</v>
      </c>
      <c r="AY45" s="47">
        <v>0.130860033727</v>
      </c>
      <c r="AZ45" s="47">
        <v>0</v>
      </c>
      <c r="BA45" s="47">
        <v>0</v>
      </c>
      <c r="BB45" s="47">
        <v>0</v>
      </c>
      <c r="BC45" s="47">
        <v>0</v>
      </c>
      <c r="BD45" s="47">
        <v>0</v>
      </c>
      <c r="BE45" s="47">
        <v>0</v>
      </c>
      <c r="BF45" s="47">
        <v>0</v>
      </c>
      <c r="BG45" s="48"/>
      <c r="BH45" s="43">
        <v>0</v>
      </c>
      <c r="BI45" s="43">
        <v>0</v>
      </c>
      <c r="BJ45" s="43">
        <v>0</v>
      </c>
      <c r="BK45" s="43">
        <v>0</v>
      </c>
      <c r="BL45" s="43">
        <v>0</v>
      </c>
      <c r="BM45" s="43">
        <v>1.5177065767300001E-3</v>
      </c>
      <c r="BN45" s="43">
        <v>0</v>
      </c>
      <c r="BO45" s="43">
        <v>0</v>
      </c>
      <c r="BP45" s="43">
        <v>5.0590219224299997E-4</v>
      </c>
      <c r="BQ45" s="43">
        <v>0</v>
      </c>
      <c r="BR45" s="43">
        <v>0</v>
      </c>
      <c r="BS45" s="43">
        <v>0</v>
      </c>
      <c r="BT45" s="43">
        <v>9.8313659359200001E-2</v>
      </c>
      <c r="BU45" s="43">
        <v>4.0472175379400004E-3</v>
      </c>
      <c r="BV45" s="43">
        <v>0</v>
      </c>
      <c r="BW45" s="43">
        <v>2.6475548060699999E-2</v>
      </c>
      <c r="BX45" s="43">
        <v>0</v>
      </c>
      <c r="BY45" s="43">
        <v>0</v>
      </c>
      <c r="BZ45" s="43">
        <v>0</v>
      </c>
      <c r="CA45" s="43">
        <v>0</v>
      </c>
      <c r="CB45" s="43">
        <v>5.3962900505899998E-3</v>
      </c>
      <c r="CC45" s="43">
        <v>0</v>
      </c>
      <c r="CD45" s="43">
        <v>0</v>
      </c>
      <c r="CE45" s="43">
        <v>0</v>
      </c>
      <c r="CF45" s="43">
        <v>0</v>
      </c>
      <c r="CG45" s="43">
        <v>1.85497470489E-3</v>
      </c>
      <c r="CH45" s="43">
        <v>0</v>
      </c>
      <c r="CI45" s="43">
        <v>1.01180438449E-3</v>
      </c>
      <c r="CJ45" s="43">
        <v>0</v>
      </c>
      <c r="CK45" s="43">
        <v>0</v>
      </c>
      <c r="CL45" s="43">
        <v>0</v>
      </c>
      <c r="CM45" s="43">
        <v>0</v>
      </c>
      <c r="CN45" s="43">
        <v>0</v>
      </c>
      <c r="CO45" s="43">
        <v>0</v>
      </c>
      <c r="CP45" s="43">
        <v>0</v>
      </c>
      <c r="CQ45" s="43">
        <v>0</v>
      </c>
      <c r="CR45" s="43">
        <v>0</v>
      </c>
      <c r="CS45" s="43">
        <v>0</v>
      </c>
      <c r="CT45" s="43">
        <v>0</v>
      </c>
      <c r="CU45" s="43">
        <v>0</v>
      </c>
      <c r="CV45" s="43">
        <v>0</v>
      </c>
      <c r="CW45" s="43">
        <v>1.18043844857E-3</v>
      </c>
      <c r="CX45" s="43">
        <v>0</v>
      </c>
      <c r="CY45" s="43">
        <v>0</v>
      </c>
      <c r="CZ45" s="43">
        <v>1.68634064081E-4</v>
      </c>
      <c r="DA45" s="43">
        <v>0</v>
      </c>
      <c r="DB45" s="43">
        <v>0</v>
      </c>
      <c r="DC45" s="43">
        <v>0</v>
      </c>
      <c r="DD45" s="43">
        <v>5.26138279933E-2</v>
      </c>
      <c r="DE45" s="43">
        <v>0</v>
      </c>
      <c r="DF45" s="43">
        <v>0</v>
      </c>
      <c r="DG45" s="43">
        <v>0.12529510961199999</v>
      </c>
      <c r="DH45" s="43">
        <v>1.01180438449E-3</v>
      </c>
      <c r="DI45" s="43">
        <v>0</v>
      </c>
      <c r="DJ45" s="43">
        <v>0</v>
      </c>
      <c r="DK45" s="43">
        <v>4.51939291737E-2</v>
      </c>
      <c r="DL45" s="43">
        <v>0</v>
      </c>
      <c r="DM45" s="43">
        <v>0</v>
      </c>
      <c r="DN45" s="43">
        <v>0</v>
      </c>
      <c r="DO45" s="43">
        <v>0</v>
      </c>
      <c r="DP45" s="43">
        <v>2.0236087689700002E-3</v>
      </c>
      <c r="DQ45" s="43">
        <v>6.23946037099E-2</v>
      </c>
      <c r="DR45" s="43">
        <v>0</v>
      </c>
      <c r="DS45" s="43">
        <v>0.140303541315</v>
      </c>
      <c r="DT45" s="43">
        <v>2.1922428330500001E-3</v>
      </c>
      <c r="DU45" s="43">
        <v>5.3962900505899998E-3</v>
      </c>
      <c r="DV45" s="43">
        <v>0</v>
      </c>
      <c r="DW45" s="43">
        <v>0</v>
      </c>
      <c r="DX45" s="43">
        <v>0</v>
      </c>
      <c r="DY45" s="43">
        <v>0</v>
      </c>
      <c r="DZ45" s="43">
        <v>0</v>
      </c>
      <c r="EA45" s="43">
        <v>0</v>
      </c>
      <c r="EB45" s="43">
        <v>3.9291736930899997E-2</v>
      </c>
      <c r="EC45" s="43">
        <v>0</v>
      </c>
      <c r="ED45" s="43">
        <v>0.15143338954499999</v>
      </c>
      <c r="EE45" s="43">
        <v>7.2175379426600003E-2</v>
      </c>
      <c r="EF45" s="43">
        <v>7.58853288364E-3</v>
      </c>
      <c r="EG45" s="43">
        <v>8.4317032040499996E-3</v>
      </c>
      <c r="EH45" s="43">
        <v>0</v>
      </c>
      <c r="EI45" s="43">
        <v>0</v>
      </c>
      <c r="EJ45" s="43">
        <v>0</v>
      </c>
      <c r="EK45" s="43">
        <v>0</v>
      </c>
      <c r="EL45" s="43">
        <v>0</v>
      </c>
      <c r="EM45" s="43">
        <v>0</v>
      </c>
      <c r="EN45" s="43">
        <v>6.74536256324E-4</v>
      </c>
      <c r="EO45" s="43">
        <v>0</v>
      </c>
      <c r="EP45" s="43">
        <v>2.5295109612100001E-3</v>
      </c>
      <c r="EQ45" s="43">
        <v>0</v>
      </c>
      <c r="ER45" s="43">
        <v>0</v>
      </c>
      <c r="ES45" s="43">
        <v>0</v>
      </c>
      <c r="ET45" s="43">
        <v>0</v>
      </c>
      <c r="EU45" s="43">
        <v>0</v>
      </c>
      <c r="EV45" s="43">
        <v>0</v>
      </c>
      <c r="EW45" s="43">
        <v>1.68634064081E-4</v>
      </c>
      <c r="EX45" s="43">
        <v>0</v>
      </c>
      <c r="EY45" s="43">
        <v>5.4468802698099998E-2</v>
      </c>
      <c r="EZ45" s="43">
        <v>0</v>
      </c>
      <c r="FA45" s="43">
        <v>0</v>
      </c>
      <c r="FB45" s="43">
        <v>0</v>
      </c>
      <c r="FC45" s="43">
        <v>0</v>
      </c>
      <c r="FD45" s="43">
        <v>0</v>
      </c>
      <c r="FE45" s="43">
        <v>0</v>
      </c>
      <c r="FF45" s="43">
        <v>0</v>
      </c>
      <c r="FG45" s="43">
        <v>0</v>
      </c>
      <c r="FH45" s="43">
        <v>0</v>
      </c>
      <c r="FI45" s="43">
        <v>0</v>
      </c>
      <c r="FJ45" s="43">
        <v>1.5177065767300001E-3</v>
      </c>
      <c r="FK45" s="43">
        <v>0</v>
      </c>
      <c r="FL45" s="43">
        <v>0</v>
      </c>
      <c r="FM45" s="43">
        <v>0</v>
      </c>
      <c r="FN45" s="43">
        <v>0</v>
      </c>
      <c r="FO45" s="43">
        <v>0</v>
      </c>
      <c r="FP45" s="43">
        <v>0</v>
      </c>
      <c r="FQ45" s="43">
        <v>0</v>
      </c>
      <c r="FR45" s="43">
        <v>0</v>
      </c>
      <c r="FS45" s="43">
        <v>0</v>
      </c>
      <c r="FT45" s="43">
        <v>0</v>
      </c>
      <c r="FU45" s="43">
        <v>0</v>
      </c>
      <c r="FV45" s="43">
        <v>0</v>
      </c>
      <c r="FW45" s="43">
        <v>3.37268128162E-4</v>
      </c>
      <c r="FX45" s="43">
        <v>0</v>
      </c>
      <c r="FY45" s="43">
        <v>0</v>
      </c>
      <c r="FZ45" s="43">
        <v>0</v>
      </c>
      <c r="GA45" s="43">
        <v>0</v>
      </c>
      <c r="GB45" s="43">
        <v>0</v>
      </c>
      <c r="GC45" s="43">
        <v>8.4485666104599996E-2</v>
      </c>
      <c r="GD45" s="43">
        <v>0</v>
      </c>
    </row>
    <row r="46" spans="1:186" ht="16.5" x14ac:dyDescent="0.3">
      <c r="A46" s="21" t="s">
        <v>312</v>
      </c>
      <c r="B46" s="57" t="s">
        <v>287</v>
      </c>
      <c r="C46" s="23">
        <v>7.5</v>
      </c>
      <c r="D46" s="23" t="s">
        <v>183</v>
      </c>
      <c r="E46" s="24" t="s">
        <v>243</v>
      </c>
      <c r="F46" s="25" t="s">
        <v>313</v>
      </c>
      <c r="G46" s="26" t="s">
        <v>289</v>
      </c>
      <c r="H46" s="51" t="s">
        <v>243</v>
      </c>
      <c r="I46" s="62">
        <v>7.5</v>
      </c>
      <c r="J46" s="52">
        <v>139</v>
      </c>
      <c r="K46" s="52">
        <v>39</v>
      </c>
      <c r="L46" s="53">
        <f t="shared" si="18"/>
        <v>20.185290616427725</v>
      </c>
      <c r="M46" s="54">
        <v>96</v>
      </c>
      <c r="N46" s="30" t="s">
        <v>186</v>
      </c>
      <c r="O46" s="30" t="s">
        <v>186</v>
      </c>
      <c r="P46" s="30" t="s">
        <v>186</v>
      </c>
      <c r="Q46" s="30" t="s">
        <v>186</v>
      </c>
      <c r="R46" s="30" t="s">
        <v>186</v>
      </c>
      <c r="S46" s="31" t="s">
        <v>186</v>
      </c>
      <c r="T46" s="30" t="s">
        <v>186</v>
      </c>
      <c r="U46" s="30" t="s">
        <v>186</v>
      </c>
      <c r="V46" s="30" t="s">
        <v>186</v>
      </c>
      <c r="W46" s="30" t="s">
        <v>186</v>
      </c>
      <c r="X46" s="25">
        <v>16987.162459699081</v>
      </c>
      <c r="Y46" s="25">
        <v>4159.6003192513281</v>
      </c>
      <c r="Z46" s="25">
        <v>1405.0433794270716</v>
      </c>
      <c r="AA46" s="25">
        <v>10247.471578256851</v>
      </c>
      <c r="AB46" s="25">
        <v>2004.7938886024992</v>
      </c>
      <c r="AC46" s="25">
        <v>1642.3646180353171</v>
      </c>
      <c r="AD46" s="32">
        <v>148.44999999999999</v>
      </c>
      <c r="AE46" s="32">
        <v>88.667500000000004</v>
      </c>
      <c r="AF46" s="23" t="s">
        <v>183</v>
      </c>
      <c r="AG46" s="33">
        <v>119.3</v>
      </c>
      <c r="AH46" s="33">
        <v>17.3</v>
      </c>
      <c r="AI46" s="34">
        <f t="shared" si="14"/>
        <v>74.323134953897735</v>
      </c>
      <c r="AJ46" s="34">
        <f t="shared" si="15"/>
        <v>512.52890173410401</v>
      </c>
      <c r="AK46" s="60">
        <v>119.3</v>
      </c>
      <c r="AL46" s="58">
        <f t="shared" si="16"/>
        <v>74.323134953897735</v>
      </c>
      <c r="AM46" s="37">
        <v>17.3</v>
      </c>
      <c r="AN46" s="61">
        <f t="shared" si="17"/>
        <v>512.52890173410401</v>
      </c>
      <c r="AO46" s="39">
        <v>2157427.7775749699</v>
      </c>
      <c r="AP46" s="39">
        <v>10471425.4130363</v>
      </c>
      <c r="AQ46" s="39">
        <v>59675346.038007803</v>
      </c>
      <c r="AR46" s="39">
        <v>53502471.864718698</v>
      </c>
      <c r="AT46" s="47">
        <v>3.17032040472E-2</v>
      </c>
      <c r="AU46" s="47">
        <v>0.48937605396299999</v>
      </c>
      <c r="AV46" s="47">
        <v>5.0590219224299997E-4</v>
      </c>
      <c r="AW46" s="47">
        <v>6.1720067453600001E-2</v>
      </c>
      <c r="AX46" s="47">
        <v>0</v>
      </c>
      <c r="AY46" s="47">
        <v>0.41298482293400002</v>
      </c>
      <c r="AZ46" s="47">
        <v>0</v>
      </c>
      <c r="BA46" s="47">
        <v>3.70994940978E-3</v>
      </c>
      <c r="BB46" s="47">
        <v>0</v>
      </c>
      <c r="BC46" s="47">
        <v>0</v>
      </c>
      <c r="BD46" s="47">
        <v>0</v>
      </c>
      <c r="BE46" s="47">
        <v>0</v>
      </c>
      <c r="BF46" s="47">
        <v>0</v>
      </c>
      <c r="BG46" s="48"/>
      <c r="BH46" s="43">
        <v>0</v>
      </c>
      <c r="BI46" s="43">
        <v>0</v>
      </c>
      <c r="BJ46" s="43">
        <v>0</v>
      </c>
      <c r="BK46" s="43">
        <v>0</v>
      </c>
      <c r="BL46" s="43">
        <v>0</v>
      </c>
      <c r="BM46" s="43">
        <v>1.3490725126499999E-3</v>
      </c>
      <c r="BN46" s="43">
        <v>0</v>
      </c>
      <c r="BO46" s="43">
        <v>0</v>
      </c>
      <c r="BP46" s="43">
        <v>0</v>
      </c>
      <c r="BQ46" s="43">
        <v>0</v>
      </c>
      <c r="BR46" s="43">
        <v>0</v>
      </c>
      <c r="BS46" s="43">
        <v>0</v>
      </c>
      <c r="BT46" s="43">
        <v>0.31045531197300003</v>
      </c>
      <c r="BU46" s="43">
        <v>0</v>
      </c>
      <c r="BV46" s="43">
        <v>2.1585160202399999E-2</v>
      </c>
      <c r="BW46" s="43">
        <v>0</v>
      </c>
      <c r="BX46" s="43">
        <v>7.9595278246199996E-2</v>
      </c>
      <c r="BY46" s="43">
        <v>0</v>
      </c>
      <c r="BZ46" s="43">
        <v>0</v>
      </c>
      <c r="CA46" s="43">
        <v>0</v>
      </c>
      <c r="CB46" s="43">
        <v>8.9376053962900003E-3</v>
      </c>
      <c r="CC46" s="43">
        <v>7.0826306914000001E-3</v>
      </c>
      <c r="CD46" s="43">
        <v>0</v>
      </c>
      <c r="CE46" s="43">
        <v>7.0826306914000001E-3</v>
      </c>
      <c r="CF46" s="43">
        <v>0</v>
      </c>
      <c r="CG46" s="43">
        <v>1.23102866779E-2</v>
      </c>
      <c r="CH46" s="43">
        <v>3.37268128162E-4</v>
      </c>
      <c r="CI46" s="43">
        <v>2.46205733558E-2</v>
      </c>
      <c r="CJ46" s="43">
        <v>0</v>
      </c>
      <c r="CK46" s="43">
        <v>1.3490725126499999E-3</v>
      </c>
      <c r="CL46" s="43">
        <v>0</v>
      </c>
      <c r="CM46" s="43">
        <v>0</v>
      </c>
      <c r="CN46" s="43">
        <v>0</v>
      </c>
      <c r="CO46" s="43">
        <v>0</v>
      </c>
      <c r="CP46" s="43">
        <v>0</v>
      </c>
      <c r="CQ46" s="43">
        <v>0</v>
      </c>
      <c r="CR46" s="43">
        <v>0</v>
      </c>
      <c r="CS46" s="43">
        <v>0</v>
      </c>
      <c r="CT46" s="43">
        <v>0</v>
      </c>
      <c r="CU46" s="43">
        <v>0</v>
      </c>
      <c r="CV46" s="43">
        <v>0</v>
      </c>
      <c r="CW46" s="43">
        <v>0</v>
      </c>
      <c r="CX46" s="43">
        <v>0</v>
      </c>
      <c r="CY46" s="43">
        <v>0</v>
      </c>
      <c r="CZ46" s="43">
        <v>0</v>
      </c>
      <c r="DA46" s="43">
        <v>0</v>
      </c>
      <c r="DB46" s="43">
        <v>0</v>
      </c>
      <c r="DC46" s="43">
        <v>0</v>
      </c>
      <c r="DD46" s="43">
        <v>0</v>
      </c>
      <c r="DE46" s="43">
        <v>0</v>
      </c>
      <c r="DF46" s="43">
        <v>9.1062394603699994E-3</v>
      </c>
      <c r="DG46" s="43">
        <v>6.1045531197300003E-2</v>
      </c>
      <c r="DH46" s="43">
        <v>3.2040472175400001E-3</v>
      </c>
      <c r="DI46" s="43">
        <v>0</v>
      </c>
      <c r="DJ46" s="43">
        <v>6.74536256324E-4</v>
      </c>
      <c r="DK46" s="43">
        <v>0</v>
      </c>
      <c r="DL46" s="43">
        <v>0</v>
      </c>
      <c r="DM46" s="43">
        <v>0</v>
      </c>
      <c r="DN46" s="43">
        <v>0</v>
      </c>
      <c r="DO46" s="43">
        <v>0</v>
      </c>
      <c r="DP46" s="43">
        <v>0</v>
      </c>
      <c r="DQ46" s="43">
        <v>4.9409780775699998E-2</v>
      </c>
      <c r="DR46" s="43">
        <v>0</v>
      </c>
      <c r="DS46" s="43">
        <v>8.3305227656E-2</v>
      </c>
      <c r="DT46" s="43">
        <v>2.8667790893799998E-3</v>
      </c>
      <c r="DU46" s="43">
        <v>1.85497470489E-3</v>
      </c>
      <c r="DV46" s="43">
        <v>0</v>
      </c>
      <c r="DW46" s="43">
        <v>0</v>
      </c>
      <c r="DX46" s="43">
        <v>4.0472175379400004E-3</v>
      </c>
      <c r="DY46" s="43">
        <v>3.70994940978E-3</v>
      </c>
      <c r="DZ46" s="43">
        <v>6.74536256324E-4</v>
      </c>
      <c r="EA46" s="43">
        <v>0</v>
      </c>
      <c r="EB46" s="43">
        <v>5.8516020236100003E-2</v>
      </c>
      <c r="EC46" s="43">
        <v>0</v>
      </c>
      <c r="ED46" s="43">
        <v>8.0101180438400005E-2</v>
      </c>
      <c r="EE46" s="43">
        <v>4.8229342327199998E-2</v>
      </c>
      <c r="EF46" s="43">
        <v>1.68634064081E-4</v>
      </c>
      <c r="EG46" s="43">
        <v>4.7554806070800003E-2</v>
      </c>
      <c r="EH46" s="43">
        <v>0</v>
      </c>
      <c r="EI46" s="43">
        <v>2.95109612142E-2</v>
      </c>
      <c r="EJ46" s="43">
        <v>0</v>
      </c>
      <c r="EK46" s="43">
        <v>0</v>
      </c>
      <c r="EL46" s="43">
        <v>0</v>
      </c>
      <c r="EM46" s="43">
        <v>2.3608768971300001E-3</v>
      </c>
      <c r="EN46" s="43">
        <v>0</v>
      </c>
      <c r="EO46" s="43">
        <v>0</v>
      </c>
      <c r="EP46" s="43">
        <v>3.0354131534600002E-3</v>
      </c>
      <c r="EQ46" s="43">
        <v>0</v>
      </c>
      <c r="ER46" s="43">
        <v>0</v>
      </c>
      <c r="ES46" s="43">
        <v>0</v>
      </c>
      <c r="ET46" s="43">
        <v>0</v>
      </c>
      <c r="EU46" s="43">
        <v>0</v>
      </c>
      <c r="EV46" s="43">
        <v>0</v>
      </c>
      <c r="EW46" s="43">
        <v>0</v>
      </c>
      <c r="EX46" s="43">
        <v>0</v>
      </c>
      <c r="EY46" s="43">
        <v>0</v>
      </c>
      <c r="EZ46" s="43">
        <v>0</v>
      </c>
      <c r="FA46" s="43">
        <v>0</v>
      </c>
      <c r="FB46" s="43">
        <v>0</v>
      </c>
      <c r="FC46" s="43">
        <v>0</v>
      </c>
      <c r="FD46" s="43">
        <v>0</v>
      </c>
      <c r="FE46" s="43">
        <v>0</v>
      </c>
      <c r="FF46" s="43">
        <v>0</v>
      </c>
      <c r="FG46" s="43">
        <v>0</v>
      </c>
      <c r="FH46" s="43">
        <v>0</v>
      </c>
      <c r="FI46" s="43">
        <v>0</v>
      </c>
      <c r="FJ46" s="43">
        <v>5.0590219224299997E-4</v>
      </c>
      <c r="FK46" s="43">
        <v>0</v>
      </c>
      <c r="FL46" s="43">
        <v>0</v>
      </c>
      <c r="FM46" s="43">
        <v>0</v>
      </c>
      <c r="FN46" s="43">
        <v>0</v>
      </c>
      <c r="FO46" s="43">
        <v>0</v>
      </c>
      <c r="FP46" s="43">
        <v>0</v>
      </c>
      <c r="FQ46" s="43">
        <v>0</v>
      </c>
      <c r="FR46" s="43">
        <v>0</v>
      </c>
      <c r="FS46" s="43">
        <v>0</v>
      </c>
      <c r="FT46" s="43">
        <v>0</v>
      </c>
      <c r="FU46" s="43">
        <v>0</v>
      </c>
      <c r="FV46" s="43">
        <v>0</v>
      </c>
      <c r="FW46" s="43">
        <v>0</v>
      </c>
      <c r="FX46" s="43">
        <v>0</v>
      </c>
      <c r="FY46" s="43">
        <v>0</v>
      </c>
      <c r="FZ46" s="43">
        <v>0</v>
      </c>
      <c r="GA46" s="43">
        <v>0</v>
      </c>
      <c r="GB46" s="43">
        <v>3.70994940978E-3</v>
      </c>
      <c r="GC46" s="43">
        <v>3.17032040472E-2</v>
      </c>
      <c r="GD46" s="43">
        <v>0</v>
      </c>
    </row>
    <row r="47" spans="1:186" ht="16.5" x14ac:dyDescent="0.3">
      <c r="A47" s="21" t="s">
        <v>314</v>
      </c>
      <c r="B47" s="57" t="s">
        <v>287</v>
      </c>
      <c r="C47" s="23">
        <v>7.5</v>
      </c>
      <c r="D47" s="23" t="s">
        <v>183</v>
      </c>
      <c r="E47" s="24" t="s">
        <v>243</v>
      </c>
      <c r="F47" s="25" t="s">
        <v>315</v>
      </c>
      <c r="G47" s="26" t="s">
        <v>289</v>
      </c>
      <c r="H47" s="51" t="s">
        <v>243</v>
      </c>
      <c r="I47" s="62">
        <v>7.5</v>
      </c>
      <c r="J47" s="52">
        <v>135</v>
      </c>
      <c r="K47" s="52">
        <v>30</v>
      </c>
      <c r="L47" s="53">
        <f t="shared" si="18"/>
        <v>16.460905349794238</v>
      </c>
      <c r="M47" s="54">
        <v>71</v>
      </c>
      <c r="N47" s="30" t="s">
        <v>186</v>
      </c>
      <c r="O47" s="30" t="s">
        <v>186</v>
      </c>
      <c r="P47" s="30" t="s">
        <v>186</v>
      </c>
      <c r="Q47" s="30" t="s">
        <v>186</v>
      </c>
      <c r="R47" s="30" t="s">
        <v>186</v>
      </c>
      <c r="S47" s="31" t="s">
        <v>186</v>
      </c>
      <c r="T47" s="30" t="s">
        <v>186</v>
      </c>
      <c r="U47" s="30" t="s">
        <v>186</v>
      </c>
      <c r="V47" s="30" t="s">
        <v>186</v>
      </c>
      <c r="W47" s="30" t="s">
        <v>186</v>
      </c>
      <c r="X47" s="25">
        <v>19902.944383144852</v>
      </c>
      <c r="Y47" s="25">
        <v>5999.7076293252921</v>
      </c>
      <c r="Z47" s="25">
        <v>1165.4332142873895</v>
      </c>
      <c r="AA47" s="25">
        <v>9697.239482588102</v>
      </c>
      <c r="AB47" s="25">
        <v>1502.6931941386342</v>
      </c>
      <c r="AC47" s="25">
        <v>1932.6219110679774</v>
      </c>
      <c r="AD47" s="32">
        <v>52.6</v>
      </c>
      <c r="AE47" s="32">
        <v>41.79</v>
      </c>
      <c r="AF47" s="23" t="s">
        <v>183</v>
      </c>
      <c r="AG47" s="33">
        <v>119.3</v>
      </c>
      <c r="AH47" s="33">
        <v>17.3</v>
      </c>
      <c r="AI47" s="34">
        <f t="shared" si="14"/>
        <v>35.029337803855825</v>
      </c>
      <c r="AJ47" s="34">
        <f t="shared" si="15"/>
        <v>241.56069364161849</v>
      </c>
      <c r="AK47" s="60">
        <v>119.3</v>
      </c>
      <c r="AL47" s="58">
        <f t="shared" si="16"/>
        <v>35.029337803855825</v>
      </c>
      <c r="AM47" s="37">
        <v>17.3</v>
      </c>
      <c r="AN47" s="61">
        <f t="shared" si="17"/>
        <v>241.56069364161849</v>
      </c>
      <c r="AO47" s="39">
        <v>3201305.8611856</v>
      </c>
      <c r="AP47" s="39">
        <v>325412532.36590099</v>
      </c>
      <c r="AQ47" s="39">
        <v>5525380.1188032404</v>
      </c>
      <c r="AR47" s="39">
        <v>67875878.557244107</v>
      </c>
      <c r="AT47" s="47">
        <v>0.105396290051</v>
      </c>
      <c r="AU47" s="47">
        <v>0.71703204047199998</v>
      </c>
      <c r="AV47" s="47">
        <v>0</v>
      </c>
      <c r="AW47" s="47">
        <v>3.0860033726800001E-2</v>
      </c>
      <c r="AX47" s="47">
        <v>0</v>
      </c>
      <c r="AY47" s="47">
        <v>0.14654300168600001</v>
      </c>
      <c r="AZ47" s="47">
        <v>0</v>
      </c>
      <c r="BA47" s="47">
        <v>0</v>
      </c>
      <c r="BB47" s="47">
        <v>1.68634064081E-4</v>
      </c>
      <c r="BC47" s="47">
        <v>0</v>
      </c>
      <c r="BD47" s="47">
        <v>0</v>
      </c>
      <c r="BE47" s="47">
        <v>0</v>
      </c>
      <c r="BF47" s="47">
        <v>0</v>
      </c>
      <c r="BG47" s="48"/>
      <c r="BH47" s="43">
        <v>1.68634064081E-4</v>
      </c>
      <c r="BI47" s="43">
        <v>0</v>
      </c>
      <c r="BJ47" s="43">
        <v>0</v>
      </c>
      <c r="BK47" s="43">
        <v>0</v>
      </c>
      <c r="BL47" s="43">
        <v>0</v>
      </c>
      <c r="BM47" s="43">
        <v>1.5177065767300001E-3</v>
      </c>
      <c r="BN47" s="43">
        <v>0</v>
      </c>
      <c r="BO47" s="43">
        <v>0</v>
      </c>
      <c r="BP47" s="43">
        <v>0</v>
      </c>
      <c r="BQ47" s="43">
        <v>0</v>
      </c>
      <c r="BR47" s="43">
        <v>0</v>
      </c>
      <c r="BS47" s="43">
        <v>0</v>
      </c>
      <c r="BT47" s="43">
        <v>0.104047217538</v>
      </c>
      <c r="BU47" s="43">
        <v>1.2478920742000001E-2</v>
      </c>
      <c r="BV47" s="43">
        <v>2.8499156829700001E-2</v>
      </c>
      <c r="BW47" s="43">
        <v>0</v>
      </c>
      <c r="BX47" s="43">
        <v>0</v>
      </c>
      <c r="BY47" s="43">
        <v>0</v>
      </c>
      <c r="BZ47" s="43">
        <v>0</v>
      </c>
      <c r="CA47" s="43">
        <v>0</v>
      </c>
      <c r="CB47" s="43">
        <v>2.2428330522800001E-2</v>
      </c>
      <c r="CC47" s="43">
        <v>0</v>
      </c>
      <c r="CD47" s="43">
        <v>0</v>
      </c>
      <c r="CE47" s="43">
        <v>5.9021922428299997E-3</v>
      </c>
      <c r="CF47" s="43">
        <v>0</v>
      </c>
      <c r="CG47" s="43">
        <v>1.85497470489E-3</v>
      </c>
      <c r="CH47" s="43">
        <v>0</v>
      </c>
      <c r="CI47" s="43">
        <v>0</v>
      </c>
      <c r="CJ47" s="43">
        <v>0</v>
      </c>
      <c r="CK47" s="43">
        <v>6.74536256324E-4</v>
      </c>
      <c r="CL47" s="43">
        <v>0</v>
      </c>
      <c r="CM47" s="43">
        <v>0</v>
      </c>
      <c r="CN47" s="43">
        <v>0</v>
      </c>
      <c r="CO47" s="43">
        <v>0</v>
      </c>
      <c r="CP47" s="43">
        <v>0</v>
      </c>
      <c r="CQ47" s="43">
        <v>0</v>
      </c>
      <c r="CR47" s="43">
        <v>0</v>
      </c>
      <c r="CS47" s="43">
        <v>0</v>
      </c>
      <c r="CT47" s="43">
        <v>0</v>
      </c>
      <c r="CU47" s="43">
        <v>0</v>
      </c>
      <c r="CV47" s="43">
        <v>0</v>
      </c>
      <c r="CW47" s="43">
        <v>0</v>
      </c>
      <c r="CX47" s="43">
        <v>0</v>
      </c>
      <c r="CY47" s="43">
        <v>8.4317032040500002E-4</v>
      </c>
      <c r="CZ47" s="43">
        <v>0</v>
      </c>
      <c r="DA47" s="43">
        <v>0</v>
      </c>
      <c r="DB47" s="43">
        <v>0</v>
      </c>
      <c r="DC47" s="43">
        <v>0</v>
      </c>
      <c r="DD47" s="43">
        <v>0</v>
      </c>
      <c r="DE47" s="43">
        <v>3.37268128162E-4</v>
      </c>
      <c r="DF47" s="43">
        <v>0</v>
      </c>
      <c r="DG47" s="43">
        <v>3.8785834738599999E-2</v>
      </c>
      <c r="DH47" s="43">
        <v>0</v>
      </c>
      <c r="DI47" s="43">
        <v>0</v>
      </c>
      <c r="DJ47" s="43">
        <v>6.74536256324E-4</v>
      </c>
      <c r="DK47" s="43">
        <v>3.70994940978E-3</v>
      </c>
      <c r="DL47" s="43">
        <v>0</v>
      </c>
      <c r="DM47" s="43">
        <v>0</v>
      </c>
      <c r="DN47" s="43">
        <v>0</v>
      </c>
      <c r="DO47" s="43">
        <v>0</v>
      </c>
      <c r="DP47" s="43">
        <v>0</v>
      </c>
      <c r="DQ47" s="43">
        <v>3.0016863406400002E-2</v>
      </c>
      <c r="DR47" s="43">
        <v>0</v>
      </c>
      <c r="DS47" s="43">
        <v>4.8903878583500003E-2</v>
      </c>
      <c r="DT47" s="43">
        <v>5.5311973018500001E-2</v>
      </c>
      <c r="DU47" s="43">
        <v>0</v>
      </c>
      <c r="DV47" s="43">
        <v>0</v>
      </c>
      <c r="DW47" s="43">
        <v>0</v>
      </c>
      <c r="DX47" s="43">
        <v>4.55311973019E-3</v>
      </c>
      <c r="DY47" s="43">
        <v>0</v>
      </c>
      <c r="DZ47" s="43">
        <v>0</v>
      </c>
      <c r="EA47" s="43">
        <v>0</v>
      </c>
      <c r="EB47" s="43">
        <v>7.7908937605400005E-2</v>
      </c>
      <c r="EC47" s="43">
        <v>0</v>
      </c>
      <c r="ED47" s="43">
        <v>0.180775716695</v>
      </c>
      <c r="EE47" s="43">
        <v>0.15042158516000001</v>
      </c>
      <c r="EF47" s="43">
        <v>1.5177065767300001E-3</v>
      </c>
      <c r="EG47" s="43">
        <v>3.6593591905599999E-2</v>
      </c>
      <c r="EH47" s="43">
        <v>0</v>
      </c>
      <c r="EI47" s="43">
        <v>0</v>
      </c>
      <c r="EJ47" s="43">
        <v>0</v>
      </c>
      <c r="EK47" s="43">
        <v>0</v>
      </c>
      <c r="EL47" s="43">
        <v>0</v>
      </c>
      <c r="EM47" s="43">
        <v>7.7571669477199999E-3</v>
      </c>
      <c r="EN47" s="43">
        <v>0</v>
      </c>
      <c r="EO47" s="43">
        <v>0</v>
      </c>
      <c r="EP47" s="43">
        <v>7.0826306914000001E-3</v>
      </c>
      <c r="EQ47" s="43">
        <v>0</v>
      </c>
      <c r="ER47" s="43">
        <v>0</v>
      </c>
      <c r="ES47" s="43">
        <v>0</v>
      </c>
      <c r="ET47" s="43">
        <v>0</v>
      </c>
      <c r="EU47" s="43">
        <v>0</v>
      </c>
      <c r="EV47" s="43">
        <v>0</v>
      </c>
      <c r="EW47" s="43">
        <v>0</v>
      </c>
      <c r="EX47" s="43">
        <v>0</v>
      </c>
      <c r="EY47" s="43">
        <v>7.1838111298499999E-2</v>
      </c>
      <c r="EZ47" s="43">
        <v>0</v>
      </c>
      <c r="FA47" s="43">
        <v>0</v>
      </c>
      <c r="FB47" s="43">
        <v>0</v>
      </c>
      <c r="FC47" s="43">
        <v>0</v>
      </c>
      <c r="FD47" s="43">
        <v>0</v>
      </c>
      <c r="FE47" s="43">
        <v>0</v>
      </c>
      <c r="FF47" s="43">
        <v>0</v>
      </c>
      <c r="FG47" s="43">
        <v>0</v>
      </c>
      <c r="FH47" s="43">
        <v>0</v>
      </c>
      <c r="FI47" s="43">
        <v>0</v>
      </c>
      <c r="FJ47" s="43">
        <v>0</v>
      </c>
      <c r="FK47" s="43">
        <v>0</v>
      </c>
      <c r="FL47" s="43">
        <v>0</v>
      </c>
      <c r="FM47" s="43">
        <v>0</v>
      </c>
      <c r="FN47" s="43">
        <v>0</v>
      </c>
      <c r="FO47" s="43">
        <v>0</v>
      </c>
      <c r="FP47" s="43">
        <v>0</v>
      </c>
      <c r="FQ47" s="43">
        <v>0</v>
      </c>
      <c r="FR47" s="43">
        <v>0</v>
      </c>
      <c r="FS47" s="43">
        <v>0</v>
      </c>
      <c r="FT47" s="43">
        <v>0</v>
      </c>
      <c r="FU47" s="43">
        <v>0</v>
      </c>
      <c r="FV47" s="43">
        <v>0</v>
      </c>
      <c r="FW47" s="43">
        <v>0</v>
      </c>
      <c r="FX47" s="43">
        <v>0</v>
      </c>
      <c r="FY47" s="43">
        <v>0</v>
      </c>
      <c r="FZ47" s="43">
        <v>0</v>
      </c>
      <c r="GA47" s="43">
        <v>0</v>
      </c>
      <c r="GB47" s="43">
        <v>0</v>
      </c>
      <c r="GC47" s="43">
        <v>0.105396290051</v>
      </c>
      <c r="GD47" s="43">
        <v>0</v>
      </c>
    </row>
    <row r="48" spans="1:186" ht="16.5" x14ac:dyDescent="0.3">
      <c r="A48" s="21" t="s">
        <v>316</v>
      </c>
      <c r="B48" s="57" t="s">
        <v>287</v>
      </c>
      <c r="C48" s="23">
        <v>14</v>
      </c>
      <c r="D48" s="23" t="s">
        <v>195</v>
      </c>
      <c r="E48" s="24" t="s">
        <v>184</v>
      </c>
      <c r="F48" s="25" t="s">
        <v>317</v>
      </c>
      <c r="G48" s="26" t="s">
        <v>289</v>
      </c>
      <c r="H48" s="26" t="s">
        <v>184</v>
      </c>
      <c r="I48" s="27">
        <v>14</v>
      </c>
      <c r="J48" s="27">
        <v>180</v>
      </c>
      <c r="K48" s="27">
        <v>67</v>
      </c>
      <c r="L48" s="28">
        <f t="shared" si="18"/>
        <v>20.679012345679013</v>
      </c>
      <c r="M48" s="29">
        <v>70</v>
      </c>
      <c r="N48" s="30" t="s">
        <v>186</v>
      </c>
      <c r="O48" s="30" t="s">
        <v>186</v>
      </c>
      <c r="P48" s="30" t="s">
        <v>186</v>
      </c>
      <c r="Q48" s="30" t="s">
        <v>186</v>
      </c>
      <c r="R48" s="30" t="s">
        <v>186</v>
      </c>
      <c r="S48" s="31" t="s">
        <v>186</v>
      </c>
      <c r="T48" s="30" t="s">
        <v>186</v>
      </c>
      <c r="U48" s="30" t="s">
        <v>186</v>
      </c>
      <c r="V48" s="30" t="s">
        <v>186</v>
      </c>
      <c r="W48" s="30" t="s">
        <v>186</v>
      </c>
      <c r="X48" s="25">
        <v>4767.7944413262449</v>
      </c>
      <c r="Y48" s="25">
        <v>2303.1374727620864</v>
      </c>
      <c r="Z48" s="25">
        <v>1212.8405665315372</v>
      </c>
      <c r="AA48" s="25">
        <v>7016.2836253628311</v>
      </c>
      <c r="AB48" s="25">
        <v>1907.3202617951133</v>
      </c>
      <c r="AC48" s="25">
        <v>1796.9252486551641</v>
      </c>
      <c r="AD48" s="49" t="s">
        <v>221</v>
      </c>
      <c r="AE48" s="49"/>
      <c r="AF48" s="23" t="s">
        <v>195</v>
      </c>
      <c r="AG48" s="33"/>
      <c r="AH48" s="33"/>
      <c r="AI48" s="34"/>
      <c r="AJ48" s="34"/>
      <c r="AK48" s="49" t="s">
        <v>221</v>
      </c>
      <c r="AL48" s="49" t="s">
        <v>221</v>
      </c>
      <c r="AM48" s="49" t="s">
        <v>221</v>
      </c>
      <c r="AN48" s="49" t="s">
        <v>221</v>
      </c>
      <c r="AO48" s="39">
        <v>4331604.5668395096</v>
      </c>
      <c r="AP48" s="39">
        <v>9329535.2176805809</v>
      </c>
      <c r="AQ48" s="39">
        <v>27523530.844416499</v>
      </c>
      <c r="AR48" s="39">
        <v>2442100.7626997801</v>
      </c>
      <c r="AT48" s="47">
        <v>0.33001686340600001</v>
      </c>
      <c r="AU48" s="47">
        <v>0.57672849915699997</v>
      </c>
      <c r="AV48" s="47">
        <v>4.3844856661000003E-3</v>
      </c>
      <c r="AW48" s="47">
        <v>4.0472175379400004E-3</v>
      </c>
      <c r="AX48" s="47">
        <v>8.4317032040500002E-4</v>
      </c>
      <c r="AY48" s="47">
        <v>8.3305227656E-2</v>
      </c>
      <c r="AZ48" s="47">
        <v>0</v>
      </c>
      <c r="BA48" s="47">
        <v>6.74536256324E-4</v>
      </c>
      <c r="BB48" s="47">
        <v>0</v>
      </c>
      <c r="BC48" s="47">
        <v>0</v>
      </c>
      <c r="BD48" s="47">
        <v>0</v>
      </c>
      <c r="BE48" s="47">
        <v>0</v>
      </c>
      <c r="BF48" s="47">
        <v>0</v>
      </c>
      <c r="BG48" s="48"/>
      <c r="BH48" s="43">
        <v>0</v>
      </c>
      <c r="BI48" s="43">
        <v>0</v>
      </c>
      <c r="BJ48" s="43">
        <v>0</v>
      </c>
      <c r="BK48" s="43">
        <v>0</v>
      </c>
      <c r="BL48" s="43">
        <v>0</v>
      </c>
      <c r="BM48" s="43">
        <v>0</v>
      </c>
      <c r="BN48" s="43">
        <v>0</v>
      </c>
      <c r="BO48" s="43">
        <v>0</v>
      </c>
      <c r="BP48" s="43">
        <v>0</v>
      </c>
      <c r="BQ48" s="43">
        <v>0</v>
      </c>
      <c r="BR48" s="43">
        <v>0</v>
      </c>
      <c r="BS48" s="43">
        <v>0</v>
      </c>
      <c r="BT48" s="43">
        <v>7.0826306914000006E-2</v>
      </c>
      <c r="BU48" s="43">
        <v>0</v>
      </c>
      <c r="BV48" s="43">
        <v>0</v>
      </c>
      <c r="BW48" s="43">
        <v>8.4317032040499996E-3</v>
      </c>
      <c r="BX48" s="43">
        <v>4.0472175379400004E-3</v>
      </c>
      <c r="BY48" s="43">
        <v>0</v>
      </c>
      <c r="BZ48" s="43">
        <v>0</v>
      </c>
      <c r="CA48" s="43">
        <v>0</v>
      </c>
      <c r="CB48" s="43">
        <v>1.5177065767300001E-3</v>
      </c>
      <c r="CC48" s="43">
        <v>3.37268128162E-4</v>
      </c>
      <c r="CD48" s="43">
        <v>0</v>
      </c>
      <c r="CE48" s="43">
        <v>0</v>
      </c>
      <c r="CF48" s="43">
        <v>0</v>
      </c>
      <c r="CG48" s="43">
        <v>0</v>
      </c>
      <c r="CH48" s="43">
        <v>0</v>
      </c>
      <c r="CI48" s="43">
        <v>1.85497470489E-3</v>
      </c>
      <c r="CJ48" s="43">
        <v>3.37268128162E-4</v>
      </c>
      <c r="CK48" s="43">
        <v>0</v>
      </c>
      <c r="CL48" s="43">
        <v>0</v>
      </c>
      <c r="CM48" s="43">
        <v>0</v>
      </c>
      <c r="CN48" s="43">
        <v>0</v>
      </c>
      <c r="CO48" s="43">
        <v>0</v>
      </c>
      <c r="CP48" s="43">
        <v>0</v>
      </c>
      <c r="CQ48" s="43">
        <v>0</v>
      </c>
      <c r="CR48" s="43">
        <v>0</v>
      </c>
      <c r="CS48" s="43">
        <v>3.37268128162E-4</v>
      </c>
      <c r="CT48" s="43">
        <v>0</v>
      </c>
      <c r="CU48" s="43">
        <v>0</v>
      </c>
      <c r="CV48" s="43">
        <v>0</v>
      </c>
      <c r="CW48" s="43">
        <v>0</v>
      </c>
      <c r="CX48" s="43">
        <v>0</v>
      </c>
      <c r="CY48" s="43">
        <v>3.37268128162E-4</v>
      </c>
      <c r="CZ48" s="43">
        <v>2.0236087689700002E-3</v>
      </c>
      <c r="DA48" s="43">
        <v>0</v>
      </c>
      <c r="DB48" s="43">
        <v>0</v>
      </c>
      <c r="DC48" s="43">
        <v>0</v>
      </c>
      <c r="DD48" s="43">
        <v>1.5177065767300001E-3</v>
      </c>
      <c r="DE48" s="43">
        <v>0</v>
      </c>
      <c r="DF48" s="43">
        <v>6.9139966273200001E-3</v>
      </c>
      <c r="DG48" s="43">
        <v>0.11281618887</v>
      </c>
      <c r="DH48" s="43">
        <v>3.87858347386E-3</v>
      </c>
      <c r="DI48" s="43">
        <v>0</v>
      </c>
      <c r="DJ48" s="43">
        <v>0</v>
      </c>
      <c r="DK48" s="43">
        <v>1.18043844857E-3</v>
      </c>
      <c r="DL48" s="43">
        <v>0</v>
      </c>
      <c r="DM48" s="43">
        <v>0</v>
      </c>
      <c r="DN48" s="43">
        <v>0</v>
      </c>
      <c r="DO48" s="43">
        <v>0</v>
      </c>
      <c r="DP48" s="43">
        <v>3.37268128162E-4</v>
      </c>
      <c r="DQ48" s="43">
        <v>3.0354131534599999E-2</v>
      </c>
      <c r="DR48" s="43">
        <v>0</v>
      </c>
      <c r="DS48" s="43">
        <v>2.95109612142E-2</v>
      </c>
      <c r="DT48" s="43">
        <v>1.6694772343999999E-2</v>
      </c>
      <c r="DU48" s="43">
        <v>0</v>
      </c>
      <c r="DV48" s="43">
        <v>0</v>
      </c>
      <c r="DW48" s="43">
        <v>0</v>
      </c>
      <c r="DX48" s="43">
        <v>0</v>
      </c>
      <c r="DY48" s="43">
        <v>5.7335581787499998E-3</v>
      </c>
      <c r="DZ48" s="43">
        <v>1.01180438449E-3</v>
      </c>
      <c r="EA48" s="43">
        <v>0</v>
      </c>
      <c r="EB48" s="43">
        <v>5.86846543002E-2</v>
      </c>
      <c r="EC48" s="43">
        <v>0</v>
      </c>
      <c r="ED48" s="43">
        <v>0.180269814503</v>
      </c>
      <c r="EE48" s="43">
        <v>1.9055649241099998E-2</v>
      </c>
      <c r="EF48" s="43">
        <v>2.8667790893799998E-3</v>
      </c>
      <c r="EG48" s="43">
        <v>5.4974704890400003E-2</v>
      </c>
      <c r="EH48" s="43">
        <v>0</v>
      </c>
      <c r="EI48" s="43">
        <v>0</v>
      </c>
      <c r="EJ48" s="43">
        <v>0</v>
      </c>
      <c r="EK48" s="43">
        <v>0</v>
      </c>
      <c r="EL48" s="43">
        <v>0</v>
      </c>
      <c r="EM48" s="43">
        <v>5.0590219224299997E-4</v>
      </c>
      <c r="EN48" s="43">
        <v>0</v>
      </c>
      <c r="EO48" s="43">
        <v>0</v>
      </c>
      <c r="EP48" s="43">
        <v>5.0590219224299999E-3</v>
      </c>
      <c r="EQ48" s="43">
        <v>0</v>
      </c>
      <c r="ER48" s="43">
        <v>0</v>
      </c>
      <c r="ES48" s="43">
        <v>0</v>
      </c>
      <c r="ET48" s="43">
        <v>0</v>
      </c>
      <c r="EU48" s="43">
        <v>0</v>
      </c>
      <c r="EV48" s="43">
        <v>0</v>
      </c>
      <c r="EW48" s="43">
        <v>0</v>
      </c>
      <c r="EX48" s="43">
        <v>0</v>
      </c>
      <c r="EY48" s="43">
        <v>3.9797639123099998E-2</v>
      </c>
      <c r="EZ48" s="43">
        <v>0</v>
      </c>
      <c r="FA48" s="43">
        <v>0</v>
      </c>
      <c r="FB48" s="43">
        <v>0</v>
      </c>
      <c r="FC48" s="43">
        <v>0</v>
      </c>
      <c r="FD48" s="43">
        <v>0</v>
      </c>
      <c r="FE48" s="43">
        <v>2.8667790893799998E-3</v>
      </c>
      <c r="FF48" s="43">
        <v>0</v>
      </c>
      <c r="FG48" s="43">
        <v>0</v>
      </c>
      <c r="FH48" s="43">
        <v>3.37268128162E-4</v>
      </c>
      <c r="FI48" s="43">
        <v>0</v>
      </c>
      <c r="FJ48" s="43">
        <v>0</v>
      </c>
      <c r="FK48" s="43">
        <v>0</v>
      </c>
      <c r="FL48" s="43">
        <v>0</v>
      </c>
      <c r="FM48" s="43">
        <v>0</v>
      </c>
      <c r="FN48" s="43">
        <v>0</v>
      </c>
      <c r="FO48" s="43">
        <v>4.0472175379400004E-3</v>
      </c>
      <c r="FP48" s="43">
        <v>0</v>
      </c>
      <c r="FQ48" s="43">
        <v>0</v>
      </c>
      <c r="FR48" s="43">
        <v>0</v>
      </c>
      <c r="FS48" s="43">
        <v>0</v>
      </c>
      <c r="FT48" s="43">
        <v>0</v>
      </c>
      <c r="FU48" s="43">
        <v>0</v>
      </c>
      <c r="FV48" s="43">
        <v>0</v>
      </c>
      <c r="FW48" s="43">
        <v>0</v>
      </c>
      <c r="FX48" s="43">
        <v>0</v>
      </c>
      <c r="FY48" s="43">
        <v>0</v>
      </c>
      <c r="FZ48" s="43">
        <v>8.4317032040500002E-4</v>
      </c>
      <c r="GA48" s="43">
        <v>6.74536256324E-4</v>
      </c>
      <c r="GB48" s="43">
        <v>0</v>
      </c>
      <c r="GC48" s="43">
        <v>0.33001686340600001</v>
      </c>
      <c r="GD48" s="43">
        <v>0</v>
      </c>
    </row>
    <row r="49" spans="1:186" ht="16.5" x14ac:dyDescent="0.3">
      <c r="A49" s="21" t="s">
        <v>318</v>
      </c>
      <c r="B49" s="57" t="s">
        <v>287</v>
      </c>
      <c r="C49" s="23">
        <v>8</v>
      </c>
      <c r="D49" s="23" t="s">
        <v>183</v>
      </c>
      <c r="E49" s="24" t="s">
        <v>243</v>
      </c>
      <c r="F49" s="25" t="s">
        <v>319</v>
      </c>
      <c r="G49" s="26" t="s">
        <v>289</v>
      </c>
      <c r="H49" s="51" t="s">
        <v>243</v>
      </c>
      <c r="I49" s="52">
        <v>8</v>
      </c>
      <c r="J49" s="52">
        <v>126</v>
      </c>
      <c r="K49" s="52">
        <v>26</v>
      </c>
      <c r="L49" s="53">
        <f t="shared" si="18"/>
        <v>16.3769211388259</v>
      </c>
      <c r="M49" s="54">
        <v>61</v>
      </c>
      <c r="N49" s="30" t="s">
        <v>186</v>
      </c>
      <c r="O49" s="30" t="s">
        <v>186</v>
      </c>
      <c r="P49" s="30" t="s">
        <v>186</v>
      </c>
      <c r="Q49" s="30" t="s">
        <v>186</v>
      </c>
      <c r="R49" s="30" t="s">
        <v>186</v>
      </c>
      <c r="S49" s="31" t="s">
        <v>186</v>
      </c>
      <c r="T49" s="30" t="s">
        <v>186</v>
      </c>
      <c r="U49" s="30" t="s">
        <v>186</v>
      </c>
      <c r="V49" s="30" t="s">
        <v>186</v>
      </c>
      <c r="W49" s="30" t="s">
        <v>320</v>
      </c>
      <c r="X49" s="25">
        <v>9695.3509154788571</v>
      </c>
      <c r="Y49" s="25">
        <v>1627.8242519992714</v>
      </c>
      <c r="Z49" s="25">
        <v>474.40128750896417</v>
      </c>
      <c r="AA49" s="25">
        <v>3836.1097890950332</v>
      </c>
      <c r="AB49" s="25">
        <v>743.2805936031516</v>
      </c>
      <c r="AC49" s="25">
        <v>960.64621462488162</v>
      </c>
      <c r="AD49" s="32">
        <v>37.700000000000003</v>
      </c>
      <c r="AE49" s="32">
        <v>1.0425</v>
      </c>
      <c r="AF49" s="23" t="s">
        <v>183</v>
      </c>
      <c r="AG49" s="33">
        <v>119.3</v>
      </c>
      <c r="AH49" s="33">
        <v>17.3</v>
      </c>
      <c r="AI49" s="34">
        <f>AE49/AG49*100</f>
        <v>0.87384744341994969</v>
      </c>
      <c r="AJ49" s="34">
        <f>AE49/AH49*100</f>
        <v>6.0260115606936413</v>
      </c>
      <c r="AK49" s="60">
        <v>119.3</v>
      </c>
      <c r="AL49" s="58">
        <f>(AE49/AK49)*100</f>
        <v>0.87384744341994969</v>
      </c>
      <c r="AM49" s="37">
        <v>17.3</v>
      </c>
      <c r="AN49" s="61">
        <f>(AE49/AM49)*100</f>
        <v>6.0260115606936413</v>
      </c>
      <c r="AO49" s="39">
        <v>2601981.8888952499</v>
      </c>
      <c r="AP49" s="39">
        <v>124899345.858977</v>
      </c>
      <c r="AQ49" s="39">
        <v>15510378.596434699</v>
      </c>
      <c r="AR49" s="39">
        <v>108946171.021183</v>
      </c>
      <c r="AT49" s="47">
        <v>5.3119730185500001E-2</v>
      </c>
      <c r="AU49" s="47">
        <v>0.527487352445</v>
      </c>
      <c r="AV49" s="47">
        <v>1.23102866779E-2</v>
      </c>
      <c r="AW49" s="47">
        <v>8.3305227656E-2</v>
      </c>
      <c r="AX49" s="47">
        <v>0</v>
      </c>
      <c r="AY49" s="47">
        <v>0.32242833052300002</v>
      </c>
      <c r="AZ49" s="47">
        <v>0</v>
      </c>
      <c r="BA49" s="47">
        <v>1.3490725126499999E-3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/>
      <c r="BH49" s="43">
        <v>0</v>
      </c>
      <c r="BI49" s="43">
        <v>0</v>
      </c>
      <c r="BJ49" s="43">
        <v>0</v>
      </c>
      <c r="BK49" s="43">
        <v>0</v>
      </c>
      <c r="BL49" s="43">
        <v>0</v>
      </c>
      <c r="BM49" s="43">
        <v>0</v>
      </c>
      <c r="BN49" s="43">
        <v>0</v>
      </c>
      <c r="BO49" s="43">
        <v>0</v>
      </c>
      <c r="BP49" s="43">
        <v>0</v>
      </c>
      <c r="BQ49" s="43">
        <v>0</v>
      </c>
      <c r="BR49" s="43">
        <v>0</v>
      </c>
      <c r="BS49" s="43">
        <v>0</v>
      </c>
      <c r="BT49" s="43">
        <v>0.29544688026999999</v>
      </c>
      <c r="BU49" s="43">
        <v>0</v>
      </c>
      <c r="BV49" s="43">
        <v>1.83811129848E-2</v>
      </c>
      <c r="BW49" s="43">
        <v>8.6003372681300004E-3</v>
      </c>
      <c r="BX49" s="43">
        <v>0</v>
      </c>
      <c r="BY49" s="43">
        <v>0</v>
      </c>
      <c r="BZ49" s="43">
        <v>0</v>
      </c>
      <c r="CA49" s="43">
        <v>0</v>
      </c>
      <c r="CB49" s="43">
        <v>4.5025295109600003E-2</v>
      </c>
      <c r="CC49" s="43">
        <v>8.7689713322099995E-3</v>
      </c>
      <c r="CD49" s="43">
        <v>0</v>
      </c>
      <c r="CE49" s="43">
        <v>0</v>
      </c>
      <c r="CF49" s="43">
        <v>0</v>
      </c>
      <c r="CG49" s="43">
        <v>2.1416526138300002E-2</v>
      </c>
      <c r="CH49" s="43">
        <v>0</v>
      </c>
      <c r="CI49" s="43">
        <v>8.0944350758899997E-3</v>
      </c>
      <c r="CJ49" s="43">
        <v>0</v>
      </c>
      <c r="CK49" s="43">
        <v>0</v>
      </c>
      <c r="CL49" s="43">
        <v>0</v>
      </c>
      <c r="CM49" s="43">
        <v>0</v>
      </c>
      <c r="CN49" s="43">
        <v>0</v>
      </c>
      <c r="CO49" s="43">
        <v>0</v>
      </c>
      <c r="CP49" s="43">
        <v>0</v>
      </c>
      <c r="CQ49" s="43">
        <v>0</v>
      </c>
      <c r="CR49" s="43">
        <v>0</v>
      </c>
      <c r="CS49" s="43">
        <v>0</v>
      </c>
      <c r="CT49" s="43">
        <v>0</v>
      </c>
      <c r="CU49" s="43">
        <v>0</v>
      </c>
      <c r="CV49" s="43">
        <v>0</v>
      </c>
      <c r="CW49" s="43">
        <v>0</v>
      </c>
      <c r="CX49" s="43">
        <v>0</v>
      </c>
      <c r="CY49" s="43">
        <v>0</v>
      </c>
      <c r="CZ49" s="43">
        <v>0</v>
      </c>
      <c r="DA49" s="43">
        <v>0</v>
      </c>
      <c r="DB49" s="43">
        <v>0</v>
      </c>
      <c r="DC49" s="43">
        <v>0</v>
      </c>
      <c r="DD49" s="43">
        <v>0</v>
      </c>
      <c r="DE49" s="43">
        <v>0</v>
      </c>
      <c r="DF49" s="43">
        <v>0</v>
      </c>
      <c r="DG49" s="43">
        <v>0.16070826306899999</v>
      </c>
      <c r="DH49" s="43">
        <v>0</v>
      </c>
      <c r="DI49" s="43">
        <v>0</v>
      </c>
      <c r="DJ49" s="43">
        <v>0</v>
      </c>
      <c r="DK49" s="43">
        <v>3.3726812816200001E-3</v>
      </c>
      <c r="DL49" s="43">
        <v>0</v>
      </c>
      <c r="DM49" s="43">
        <v>0</v>
      </c>
      <c r="DN49" s="43">
        <v>0</v>
      </c>
      <c r="DO49" s="43">
        <v>0</v>
      </c>
      <c r="DP49" s="43">
        <v>0</v>
      </c>
      <c r="DQ49" s="43">
        <v>5.6492411467099997E-2</v>
      </c>
      <c r="DR49" s="43">
        <v>0</v>
      </c>
      <c r="DS49" s="43">
        <v>6.5767284991600006E-2</v>
      </c>
      <c r="DT49" s="43">
        <v>2.3608768971300001E-3</v>
      </c>
      <c r="DU49" s="43">
        <v>0</v>
      </c>
      <c r="DV49" s="43">
        <v>0</v>
      </c>
      <c r="DW49" s="43">
        <v>0</v>
      </c>
      <c r="DX49" s="43">
        <v>3.37268128162E-4</v>
      </c>
      <c r="DY49" s="43">
        <v>0</v>
      </c>
      <c r="DZ49" s="43">
        <v>4.89038785835E-3</v>
      </c>
      <c r="EA49" s="43">
        <v>0</v>
      </c>
      <c r="EB49" s="43">
        <v>0</v>
      </c>
      <c r="EC49" s="43">
        <v>0</v>
      </c>
      <c r="ED49" s="43">
        <v>0.124283305228</v>
      </c>
      <c r="EE49" s="43">
        <v>5.3456998313700002E-2</v>
      </c>
      <c r="EF49" s="43">
        <v>3.37268128162E-4</v>
      </c>
      <c r="EG49" s="43">
        <v>1.3827993254599999E-2</v>
      </c>
      <c r="EH49" s="43">
        <v>0</v>
      </c>
      <c r="EI49" s="43">
        <v>3.5750421585199997E-2</v>
      </c>
      <c r="EJ49" s="43">
        <v>0</v>
      </c>
      <c r="EK49" s="43">
        <v>0</v>
      </c>
      <c r="EL49" s="43">
        <v>0</v>
      </c>
      <c r="EM49" s="43">
        <v>0</v>
      </c>
      <c r="EN49" s="43">
        <v>0</v>
      </c>
      <c r="EO49" s="43">
        <v>0</v>
      </c>
      <c r="EP49" s="43">
        <v>5.0590219224299999E-3</v>
      </c>
      <c r="EQ49" s="43">
        <v>0</v>
      </c>
      <c r="ER49" s="43">
        <v>0</v>
      </c>
      <c r="ES49" s="43">
        <v>0</v>
      </c>
      <c r="ET49" s="43">
        <v>0</v>
      </c>
      <c r="EU49" s="43">
        <v>8.4317032040500002E-4</v>
      </c>
      <c r="EV49" s="43">
        <v>0</v>
      </c>
      <c r="EW49" s="43">
        <v>0</v>
      </c>
      <c r="EX49" s="43">
        <v>0</v>
      </c>
      <c r="EY49" s="43">
        <v>0</v>
      </c>
      <c r="EZ49" s="43">
        <v>0</v>
      </c>
      <c r="FA49" s="43">
        <v>0</v>
      </c>
      <c r="FB49" s="43">
        <v>0</v>
      </c>
      <c r="FC49" s="43">
        <v>0</v>
      </c>
      <c r="FD49" s="43">
        <v>0</v>
      </c>
      <c r="FE49" s="43">
        <v>0</v>
      </c>
      <c r="FF49" s="43">
        <v>0</v>
      </c>
      <c r="FG49" s="43">
        <v>0</v>
      </c>
      <c r="FH49" s="43">
        <v>0</v>
      </c>
      <c r="FI49" s="43">
        <v>0</v>
      </c>
      <c r="FJ49" s="43">
        <v>0</v>
      </c>
      <c r="FK49" s="43">
        <v>0</v>
      </c>
      <c r="FL49" s="43">
        <v>1.68634064081E-4</v>
      </c>
      <c r="FM49" s="43">
        <v>0</v>
      </c>
      <c r="FN49" s="43">
        <v>0</v>
      </c>
      <c r="FO49" s="43">
        <v>1.68634064081E-3</v>
      </c>
      <c r="FP49" s="43">
        <v>1.0455311973E-2</v>
      </c>
      <c r="FQ49" s="43">
        <v>0</v>
      </c>
      <c r="FR49" s="43">
        <v>0</v>
      </c>
      <c r="FS49" s="43">
        <v>0</v>
      </c>
      <c r="FT49" s="43">
        <v>0</v>
      </c>
      <c r="FU49" s="43">
        <v>0</v>
      </c>
      <c r="FV49" s="43">
        <v>0</v>
      </c>
      <c r="FW49" s="43">
        <v>0</v>
      </c>
      <c r="FX49" s="43">
        <v>0</v>
      </c>
      <c r="FY49" s="43">
        <v>0</v>
      </c>
      <c r="FZ49" s="43">
        <v>0</v>
      </c>
      <c r="GA49" s="43">
        <v>1.01180438449E-3</v>
      </c>
      <c r="GB49" s="43">
        <v>3.37268128162E-4</v>
      </c>
      <c r="GC49" s="43">
        <v>5.3119730185500001E-2</v>
      </c>
      <c r="GD49" s="43">
        <v>0</v>
      </c>
    </row>
    <row r="50" spans="1:186" ht="16.5" x14ac:dyDescent="0.3">
      <c r="A50" s="21" t="s">
        <v>321</v>
      </c>
      <c r="B50" s="57" t="s">
        <v>287</v>
      </c>
      <c r="C50" s="23">
        <v>7</v>
      </c>
      <c r="D50" s="23" t="s">
        <v>183</v>
      </c>
      <c r="E50" s="24" t="s">
        <v>243</v>
      </c>
      <c r="F50" s="25" t="s">
        <v>322</v>
      </c>
      <c r="G50" s="26" t="s">
        <v>289</v>
      </c>
      <c r="H50" s="51" t="s">
        <v>243</v>
      </c>
      <c r="I50" s="52">
        <v>7</v>
      </c>
      <c r="J50" s="49" t="s">
        <v>221</v>
      </c>
      <c r="K50" s="49" t="s">
        <v>221</v>
      </c>
      <c r="L50" s="49" t="s">
        <v>221</v>
      </c>
      <c r="M50" s="49" t="s">
        <v>221</v>
      </c>
      <c r="N50" s="49" t="s">
        <v>221</v>
      </c>
      <c r="O50" s="49" t="s">
        <v>221</v>
      </c>
      <c r="P50" s="49" t="s">
        <v>221</v>
      </c>
      <c r="Q50" s="49" t="s">
        <v>221</v>
      </c>
      <c r="R50" s="49" t="s">
        <v>221</v>
      </c>
      <c r="S50" s="49" t="s">
        <v>221</v>
      </c>
      <c r="T50" s="49" t="s">
        <v>221</v>
      </c>
      <c r="U50" s="49" t="s">
        <v>221</v>
      </c>
      <c r="V50" s="49" t="s">
        <v>221</v>
      </c>
      <c r="W50" s="49" t="s">
        <v>221</v>
      </c>
      <c r="X50" s="49" t="s">
        <v>221</v>
      </c>
      <c r="Y50" s="49" t="s">
        <v>221</v>
      </c>
      <c r="Z50" s="49" t="s">
        <v>221</v>
      </c>
      <c r="AA50" s="49" t="s">
        <v>221</v>
      </c>
      <c r="AB50" s="49" t="s">
        <v>221</v>
      </c>
      <c r="AC50" s="49" t="s">
        <v>221</v>
      </c>
      <c r="AD50" s="32">
        <v>199.6</v>
      </c>
      <c r="AE50" s="32">
        <v>29.015000000000001</v>
      </c>
      <c r="AF50" s="23" t="s">
        <v>183</v>
      </c>
      <c r="AG50" s="33">
        <v>145.1</v>
      </c>
      <c r="AH50" s="33">
        <v>18.2</v>
      </c>
      <c r="AI50" s="34">
        <f>AE50/AG50*100</f>
        <v>19.996554100620262</v>
      </c>
      <c r="AJ50" s="34">
        <f>AE50/AH50*100</f>
        <v>159.42307692307693</v>
      </c>
      <c r="AK50" s="60">
        <v>145.1</v>
      </c>
      <c r="AL50" s="58">
        <f>(AE50/AK50)*100</f>
        <v>19.996554100620262</v>
      </c>
      <c r="AM50" s="37">
        <v>18.2</v>
      </c>
      <c r="AN50" s="61">
        <f>(AE50/AM50)*100</f>
        <v>159.42307692307693</v>
      </c>
      <c r="AO50" s="49" t="s">
        <v>221</v>
      </c>
      <c r="AP50" s="49" t="s">
        <v>221</v>
      </c>
      <c r="AQ50" s="49" t="s">
        <v>221</v>
      </c>
      <c r="AR50" s="49" t="s">
        <v>221</v>
      </c>
      <c r="AS50" s="49" t="s">
        <v>221</v>
      </c>
      <c r="AT50" s="49" t="s">
        <v>221</v>
      </c>
      <c r="AU50" s="49" t="s">
        <v>221</v>
      </c>
      <c r="AV50" s="49" t="s">
        <v>221</v>
      </c>
      <c r="AW50" s="49" t="s">
        <v>221</v>
      </c>
      <c r="AX50" s="49" t="s">
        <v>221</v>
      </c>
      <c r="AY50" s="49" t="s">
        <v>221</v>
      </c>
      <c r="AZ50" s="49" t="s">
        <v>221</v>
      </c>
      <c r="BA50" s="49" t="s">
        <v>221</v>
      </c>
      <c r="BB50" s="49" t="s">
        <v>221</v>
      </c>
      <c r="BC50" s="49" t="s">
        <v>221</v>
      </c>
      <c r="BD50" s="49" t="s">
        <v>221</v>
      </c>
      <c r="BE50" s="49" t="s">
        <v>221</v>
      </c>
      <c r="BF50" s="49" t="s">
        <v>221</v>
      </c>
      <c r="BG50" s="49" t="s">
        <v>221</v>
      </c>
      <c r="BH50" s="49" t="s">
        <v>221</v>
      </c>
      <c r="BI50" s="49" t="s">
        <v>221</v>
      </c>
      <c r="BJ50" s="49" t="s">
        <v>221</v>
      </c>
      <c r="BK50" s="49" t="s">
        <v>221</v>
      </c>
      <c r="BL50" s="49" t="s">
        <v>221</v>
      </c>
      <c r="BM50" s="49" t="s">
        <v>221</v>
      </c>
      <c r="BN50" s="49" t="s">
        <v>221</v>
      </c>
      <c r="BO50" s="49" t="s">
        <v>221</v>
      </c>
      <c r="BP50" s="49" t="s">
        <v>221</v>
      </c>
      <c r="BQ50" s="49" t="s">
        <v>221</v>
      </c>
      <c r="BR50" s="49" t="s">
        <v>221</v>
      </c>
      <c r="BS50" s="49" t="s">
        <v>221</v>
      </c>
      <c r="BT50" s="49" t="s">
        <v>221</v>
      </c>
      <c r="BU50" s="49" t="s">
        <v>221</v>
      </c>
      <c r="BV50" s="49" t="s">
        <v>221</v>
      </c>
      <c r="BW50" s="49" t="s">
        <v>221</v>
      </c>
      <c r="BX50" s="49" t="s">
        <v>221</v>
      </c>
      <c r="BY50" s="49" t="s">
        <v>221</v>
      </c>
      <c r="BZ50" s="49" t="s">
        <v>221</v>
      </c>
      <c r="CA50" s="49" t="s">
        <v>221</v>
      </c>
      <c r="CB50" s="49" t="s">
        <v>221</v>
      </c>
      <c r="CC50" s="49" t="s">
        <v>221</v>
      </c>
      <c r="CD50" s="49" t="s">
        <v>221</v>
      </c>
      <c r="CE50" s="49" t="s">
        <v>221</v>
      </c>
      <c r="CF50" s="49" t="s">
        <v>221</v>
      </c>
      <c r="CG50" s="49" t="s">
        <v>221</v>
      </c>
      <c r="CH50" s="49" t="s">
        <v>221</v>
      </c>
      <c r="CI50" s="49" t="s">
        <v>221</v>
      </c>
      <c r="CJ50" s="49" t="s">
        <v>221</v>
      </c>
      <c r="CK50" s="49" t="s">
        <v>221</v>
      </c>
      <c r="CL50" s="49" t="s">
        <v>221</v>
      </c>
      <c r="CM50" s="49" t="s">
        <v>221</v>
      </c>
      <c r="CN50" s="49" t="s">
        <v>221</v>
      </c>
      <c r="CO50" s="49" t="s">
        <v>221</v>
      </c>
      <c r="CP50" s="49" t="s">
        <v>221</v>
      </c>
      <c r="CQ50" s="49" t="s">
        <v>221</v>
      </c>
      <c r="CR50" s="49" t="s">
        <v>221</v>
      </c>
      <c r="CS50" s="49" t="s">
        <v>221</v>
      </c>
      <c r="CT50" s="49" t="s">
        <v>221</v>
      </c>
      <c r="CU50" s="49" t="s">
        <v>221</v>
      </c>
      <c r="CV50" s="49" t="s">
        <v>221</v>
      </c>
      <c r="CW50" s="49" t="s">
        <v>221</v>
      </c>
      <c r="CX50" s="49" t="s">
        <v>221</v>
      </c>
      <c r="CY50" s="49" t="s">
        <v>221</v>
      </c>
      <c r="CZ50" s="49" t="s">
        <v>221</v>
      </c>
      <c r="DA50" s="49" t="s">
        <v>221</v>
      </c>
      <c r="DB50" s="49" t="s">
        <v>221</v>
      </c>
      <c r="DC50" s="49" t="s">
        <v>221</v>
      </c>
      <c r="DD50" s="49" t="s">
        <v>221</v>
      </c>
      <c r="DE50" s="49" t="s">
        <v>221</v>
      </c>
      <c r="DF50" s="49" t="s">
        <v>221</v>
      </c>
      <c r="DG50" s="49" t="s">
        <v>221</v>
      </c>
      <c r="DH50" s="49" t="s">
        <v>221</v>
      </c>
      <c r="DI50" s="49" t="s">
        <v>221</v>
      </c>
      <c r="DJ50" s="49" t="s">
        <v>221</v>
      </c>
      <c r="DK50" s="49" t="s">
        <v>221</v>
      </c>
      <c r="DL50" s="49" t="s">
        <v>221</v>
      </c>
      <c r="DM50" s="49" t="s">
        <v>221</v>
      </c>
      <c r="DN50" s="49" t="s">
        <v>221</v>
      </c>
      <c r="DO50" s="49" t="s">
        <v>221</v>
      </c>
      <c r="DP50" s="49" t="s">
        <v>221</v>
      </c>
      <c r="DQ50" s="49" t="s">
        <v>221</v>
      </c>
      <c r="DR50" s="49" t="s">
        <v>221</v>
      </c>
      <c r="DS50" s="49" t="s">
        <v>221</v>
      </c>
      <c r="DT50" s="49" t="s">
        <v>221</v>
      </c>
      <c r="DU50" s="49" t="s">
        <v>221</v>
      </c>
      <c r="DV50" s="49" t="s">
        <v>221</v>
      </c>
      <c r="DW50" s="49" t="s">
        <v>221</v>
      </c>
      <c r="DX50" s="49" t="s">
        <v>221</v>
      </c>
      <c r="DY50" s="49" t="s">
        <v>221</v>
      </c>
      <c r="DZ50" s="49" t="s">
        <v>221</v>
      </c>
      <c r="EA50" s="49" t="s">
        <v>221</v>
      </c>
      <c r="EB50" s="49" t="s">
        <v>221</v>
      </c>
      <c r="EC50" s="49" t="s">
        <v>221</v>
      </c>
      <c r="ED50" s="49" t="s">
        <v>221</v>
      </c>
      <c r="EE50" s="49" t="s">
        <v>221</v>
      </c>
      <c r="EF50" s="49" t="s">
        <v>221</v>
      </c>
      <c r="EG50" s="49" t="s">
        <v>221</v>
      </c>
      <c r="EH50" s="49" t="s">
        <v>221</v>
      </c>
      <c r="EI50" s="49" t="s">
        <v>221</v>
      </c>
      <c r="EJ50" s="49" t="s">
        <v>221</v>
      </c>
      <c r="EK50" s="49" t="s">
        <v>221</v>
      </c>
      <c r="EL50" s="49" t="s">
        <v>221</v>
      </c>
      <c r="EM50" s="49" t="s">
        <v>221</v>
      </c>
      <c r="EN50" s="49" t="s">
        <v>221</v>
      </c>
      <c r="EO50" s="49" t="s">
        <v>221</v>
      </c>
      <c r="EP50" s="49" t="s">
        <v>221</v>
      </c>
      <c r="EQ50" s="49" t="s">
        <v>221</v>
      </c>
      <c r="ER50" s="49" t="s">
        <v>221</v>
      </c>
      <c r="ES50" s="49" t="s">
        <v>221</v>
      </c>
      <c r="ET50" s="49" t="s">
        <v>221</v>
      </c>
      <c r="EU50" s="49" t="s">
        <v>221</v>
      </c>
      <c r="EV50" s="49" t="s">
        <v>221</v>
      </c>
      <c r="EW50" s="49" t="s">
        <v>221</v>
      </c>
      <c r="EX50" s="49" t="s">
        <v>221</v>
      </c>
      <c r="EY50" s="49" t="s">
        <v>221</v>
      </c>
      <c r="EZ50" s="49" t="s">
        <v>221</v>
      </c>
      <c r="FA50" s="49" t="s">
        <v>221</v>
      </c>
      <c r="FB50" s="49" t="s">
        <v>221</v>
      </c>
      <c r="FC50" s="49" t="s">
        <v>221</v>
      </c>
      <c r="FD50" s="49" t="s">
        <v>221</v>
      </c>
      <c r="FE50" s="49" t="s">
        <v>221</v>
      </c>
      <c r="FF50" s="49" t="s">
        <v>221</v>
      </c>
      <c r="FG50" s="49" t="s">
        <v>221</v>
      </c>
      <c r="FH50" s="49" t="s">
        <v>221</v>
      </c>
      <c r="FI50" s="49" t="s">
        <v>221</v>
      </c>
      <c r="FJ50" s="49" t="s">
        <v>221</v>
      </c>
      <c r="FK50" s="49" t="s">
        <v>221</v>
      </c>
      <c r="FL50" s="49" t="s">
        <v>221</v>
      </c>
      <c r="FM50" s="49" t="s">
        <v>221</v>
      </c>
      <c r="FN50" s="49" t="s">
        <v>221</v>
      </c>
      <c r="FO50" s="49" t="s">
        <v>221</v>
      </c>
      <c r="FP50" s="49" t="s">
        <v>221</v>
      </c>
      <c r="FQ50" s="49" t="s">
        <v>221</v>
      </c>
      <c r="FR50" s="49" t="s">
        <v>221</v>
      </c>
      <c r="FS50" s="49" t="s">
        <v>221</v>
      </c>
      <c r="FT50" s="49" t="s">
        <v>221</v>
      </c>
      <c r="FU50" s="49" t="s">
        <v>221</v>
      </c>
      <c r="FV50" s="49" t="s">
        <v>221</v>
      </c>
      <c r="FW50" s="49" t="s">
        <v>221</v>
      </c>
      <c r="FX50" s="49" t="s">
        <v>221</v>
      </c>
      <c r="FY50" s="49" t="s">
        <v>221</v>
      </c>
      <c r="FZ50" s="49" t="s">
        <v>221</v>
      </c>
      <c r="GA50" s="49" t="s">
        <v>221</v>
      </c>
      <c r="GB50" s="49" t="s">
        <v>221</v>
      </c>
      <c r="GC50" s="49" t="s">
        <v>221</v>
      </c>
      <c r="GD50" s="49" t="s">
        <v>221</v>
      </c>
    </row>
    <row r="51" spans="1:186" ht="16.5" x14ac:dyDescent="0.3">
      <c r="A51" s="21" t="s">
        <v>323</v>
      </c>
      <c r="B51" s="57" t="s">
        <v>287</v>
      </c>
      <c r="C51" s="23">
        <v>14</v>
      </c>
      <c r="D51" s="23" t="s">
        <v>195</v>
      </c>
      <c r="E51" s="24" t="s">
        <v>243</v>
      </c>
      <c r="F51" s="25" t="s">
        <v>324</v>
      </c>
      <c r="G51" s="26" t="s">
        <v>289</v>
      </c>
      <c r="H51" s="51" t="s">
        <v>243</v>
      </c>
      <c r="I51" s="52">
        <v>14</v>
      </c>
      <c r="J51" s="52">
        <v>174</v>
      </c>
      <c r="K51" s="52">
        <v>60</v>
      </c>
      <c r="L51" s="53">
        <f t="shared" ref="L51:L64" si="19">K51/(J51/100)^2</f>
        <v>19.817677368212443</v>
      </c>
      <c r="M51" s="54">
        <v>56</v>
      </c>
      <c r="N51" s="30" t="s">
        <v>186</v>
      </c>
      <c r="O51" s="30" t="s">
        <v>186</v>
      </c>
      <c r="P51" s="30" t="s">
        <v>186</v>
      </c>
      <c r="Q51" s="30" t="s">
        <v>186</v>
      </c>
      <c r="R51" s="30" t="s">
        <v>186</v>
      </c>
      <c r="S51" s="31" t="s">
        <v>186</v>
      </c>
      <c r="T51" s="30" t="s">
        <v>186</v>
      </c>
      <c r="U51" s="30" t="s">
        <v>186</v>
      </c>
      <c r="V51" s="30" t="s">
        <v>186</v>
      </c>
      <c r="W51" s="30" t="s">
        <v>186</v>
      </c>
      <c r="X51" s="25">
        <v>1481.7546081592516</v>
      </c>
      <c r="Y51" s="25">
        <v>630.17044090346633</v>
      </c>
      <c r="Z51" s="25">
        <v>535.50875024678157</v>
      </c>
      <c r="AA51" s="25">
        <v>535.50875024678157</v>
      </c>
      <c r="AB51" s="25">
        <v>499.20071798305713</v>
      </c>
      <c r="AC51" s="25">
        <v>464.23880292802232</v>
      </c>
      <c r="AD51" s="32">
        <v>178.55</v>
      </c>
      <c r="AE51" s="32">
        <v>90.542500000000004</v>
      </c>
      <c r="AF51" s="23" t="s">
        <v>195</v>
      </c>
      <c r="AG51" s="33">
        <v>54.4</v>
      </c>
      <c r="AH51" s="33">
        <v>13.9</v>
      </c>
      <c r="AI51" s="34">
        <f>AE51/AG51*100</f>
        <v>166.43841911764707</v>
      </c>
      <c r="AJ51" s="34">
        <f>AE51/AH51*100</f>
        <v>651.38489208633098</v>
      </c>
      <c r="AK51" s="60">
        <v>54.4</v>
      </c>
      <c r="AL51" s="58">
        <f>(AE51/AK51)*100</f>
        <v>166.43841911764707</v>
      </c>
      <c r="AM51" s="37">
        <v>13.9</v>
      </c>
      <c r="AN51" s="61">
        <f>(AE51/AM51)*100</f>
        <v>651.38489208633098</v>
      </c>
      <c r="AO51" s="39">
        <v>14975780.7151637</v>
      </c>
      <c r="AP51" s="39">
        <v>12253935.7941158</v>
      </c>
      <c r="AQ51" s="39">
        <v>5843791.4491629303</v>
      </c>
      <c r="AR51" s="39">
        <v>2060030.7495150401</v>
      </c>
      <c r="AT51" s="47">
        <v>5.0084317032000003E-2</v>
      </c>
      <c r="AU51" s="47">
        <v>0.73001686340600003</v>
      </c>
      <c r="AV51" s="47">
        <v>1.68634064081E-3</v>
      </c>
      <c r="AW51" s="47">
        <v>4.55311973019E-3</v>
      </c>
      <c r="AX51" s="47">
        <v>0</v>
      </c>
      <c r="AY51" s="47">
        <v>0.21332209106200001</v>
      </c>
      <c r="AZ51" s="47">
        <v>0</v>
      </c>
      <c r="BA51" s="47">
        <v>0</v>
      </c>
      <c r="BB51" s="47">
        <v>3.37268128162E-4</v>
      </c>
      <c r="BC51" s="47">
        <v>0</v>
      </c>
      <c r="BD51" s="47">
        <v>0</v>
      </c>
      <c r="BE51" s="47">
        <v>0</v>
      </c>
      <c r="BF51" s="47">
        <v>0</v>
      </c>
      <c r="BG51" s="48"/>
      <c r="BH51" s="43">
        <v>3.37268128162E-4</v>
      </c>
      <c r="BI51" s="43">
        <v>0</v>
      </c>
      <c r="BJ51" s="43">
        <v>0</v>
      </c>
      <c r="BK51" s="43">
        <v>0</v>
      </c>
      <c r="BL51" s="43">
        <v>0</v>
      </c>
      <c r="BM51" s="43">
        <v>0</v>
      </c>
      <c r="BN51" s="43">
        <v>1.68634064081E-4</v>
      </c>
      <c r="BO51" s="43">
        <v>0</v>
      </c>
      <c r="BP51" s="43">
        <v>0</v>
      </c>
      <c r="BQ51" s="43">
        <v>0</v>
      </c>
      <c r="BR51" s="43">
        <v>0</v>
      </c>
      <c r="BS51" s="43">
        <v>0</v>
      </c>
      <c r="BT51" s="43">
        <v>6.2731871838100001E-2</v>
      </c>
      <c r="BU51" s="43">
        <v>0</v>
      </c>
      <c r="BV51" s="43">
        <v>9.1736930859999996E-2</v>
      </c>
      <c r="BW51" s="43">
        <v>0</v>
      </c>
      <c r="BX51" s="43">
        <v>5.86846543002E-2</v>
      </c>
      <c r="BY51" s="43">
        <v>0</v>
      </c>
      <c r="BZ51" s="43">
        <v>0</v>
      </c>
      <c r="CA51" s="43">
        <v>0</v>
      </c>
      <c r="CB51" s="43">
        <v>1.5177065767300001E-3</v>
      </c>
      <c r="CC51" s="43">
        <v>0</v>
      </c>
      <c r="CD51" s="43">
        <v>0</v>
      </c>
      <c r="CE51" s="43">
        <v>0</v>
      </c>
      <c r="CF51" s="43">
        <v>0</v>
      </c>
      <c r="CG51" s="43">
        <v>2.1922428330500001E-3</v>
      </c>
      <c r="CH51" s="43">
        <v>3.37268128162E-4</v>
      </c>
      <c r="CI51" s="43">
        <v>0</v>
      </c>
      <c r="CJ51" s="43">
        <v>0</v>
      </c>
      <c r="CK51" s="43">
        <v>0</v>
      </c>
      <c r="CL51" s="43">
        <v>5.0590219224299997E-4</v>
      </c>
      <c r="CM51" s="43">
        <v>0</v>
      </c>
      <c r="CN51" s="43">
        <v>0</v>
      </c>
      <c r="CO51" s="43">
        <v>0</v>
      </c>
      <c r="CP51" s="43">
        <v>0</v>
      </c>
      <c r="CQ51" s="43">
        <v>0</v>
      </c>
      <c r="CR51" s="43">
        <v>0</v>
      </c>
      <c r="CS51" s="43">
        <v>3.37268128162E-4</v>
      </c>
      <c r="CT51" s="43">
        <v>0</v>
      </c>
      <c r="CU51" s="43">
        <v>0</v>
      </c>
      <c r="CV51" s="43">
        <v>0</v>
      </c>
      <c r="CW51" s="43">
        <v>0</v>
      </c>
      <c r="CX51" s="43">
        <v>0</v>
      </c>
      <c r="CY51" s="43">
        <v>0</v>
      </c>
      <c r="CZ51" s="43">
        <v>1.01180438449E-3</v>
      </c>
      <c r="DA51" s="43">
        <v>0</v>
      </c>
      <c r="DB51" s="43">
        <v>0</v>
      </c>
      <c r="DC51" s="43">
        <v>0</v>
      </c>
      <c r="DD51" s="43">
        <v>1.09612141653E-2</v>
      </c>
      <c r="DE51" s="43">
        <v>0</v>
      </c>
      <c r="DF51" s="43">
        <v>0</v>
      </c>
      <c r="DG51" s="43">
        <v>2.2428330522800001E-2</v>
      </c>
      <c r="DH51" s="43">
        <v>6.74536256324E-4</v>
      </c>
      <c r="DI51" s="43">
        <v>0</v>
      </c>
      <c r="DJ51" s="43">
        <v>2.1922428330500001E-3</v>
      </c>
      <c r="DK51" s="43">
        <v>0</v>
      </c>
      <c r="DL51" s="43">
        <v>0</v>
      </c>
      <c r="DM51" s="43">
        <v>3.37268128162E-4</v>
      </c>
      <c r="DN51" s="43">
        <v>0</v>
      </c>
      <c r="DO51" s="43">
        <v>0</v>
      </c>
      <c r="DP51" s="43">
        <v>3.37268128162E-4</v>
      </c>
      <c r="DQ51" s="43">
        <v>0.17740303541300001</v>
      </c>
      <c r="DR51" s="43">
        <v>0</v>
      </c>
      <c r="DS51" s="43">
        <v>0.17150084317</v>
      </c>
      <c r="DT51" s="43">
        <v>8.4317032040500002E-4</v>
      </c>
      <c r="DU51" s="43">
        <v>8.6003372681300004E-3</v>
      </c>
      <c r="DV51" s="43">
        <v>0</v>
      </c>
      <c r="DW51" s="43">
        <v>0</v>
      </c>
      <c r="DX51" s="43">
        <v>0</v>
      </c>
      <c r="DY51" s="43">
        <v>0</v>
      </c>
      <c r="DZ51" s="43">
        <v>1.68634064081E-3</v>
      </c>
      <c r="EA51" s="43">
        <v>0</v>
      </c>
      <c r="EB51" s="43">
        <v>8.83642495784E-2</v>
      </c>
      <c r="EC51" s="43">
        <v>0</v>
      </c>
      <c r="ED51" s="43">
        <v>6.0876897133199999E-2</v>
      </c>
      <c r="EE51" s="43">
        <v>0</v>
      </c>
      <c r="EF51" s="43">
        <v>1.5177065767300001E-3</v>
      </c>
      <c r="EG51" s="43">
        <v>4.3338954468799998E-2</v>
      </c>
      <c r="EH51" s="43">
        <v>0</v>
      </c>
      <c r="EI51" s="43">
        <v>0</v>
      </c>
      <c r="EJ51" s="43">
        <v>0</v>
      </c>
      <c r="EK51" s="43">
        <v>0</v>
      </c>
      <c r="EL51" s="43">
        <v>0</v>
      </c>
      <c r="EM51" s="43">
        <v>1.85497470489E-3</v>
      </c>
      <c r="EN51" s="43">
        <v>0</v>
      </c>
      <c r="EO51" s="43">
        <v>0</v>
      </c>
      <c r="EP51" s="43">
        <v>7.7571669477199999E-3</v>
      </c>
      <c r="EQ51" s="43">
        <v>0</v>
      </c>
      <c r="ER51" s="43">
        <v>0</v>
      </c>
      <c r="ES51" s="43">
        <v>0</v>
      </c>
      <c r="ET51" s="43">
        <v>0</v>
      </c>
      <c r="EU51" s="43">
        <v>0</v>
      </c>
      <c r="EV51" s="43">
        <v>0</v>
      </c>
      <c r="EW51" s="43">
        <v>0</v>
      </c>
      <c r="EX51" s="43">
        <v>0</v>
      </c>
      <c r="EY51" s="43">
        <v>0.12799325463700001</v>
      </c>
      <c r="EZ51" s="43">
        <v>0</v>
      </c>
      <c r="FA51" s="43">
        <v>0</v>
      </c>
      <c r="FB51" s="43">
        <v>0</v>
      </c>
      <c r="FC51" s="43">
        <v>0</v>
      </c>
      <c r="FD51" s="43">
        <v>0</v>
      </c>
      <c r="FE51" s="43">
        <v>0</v>
      </c>
      <c r="FF51" s="43">
        <v>0</v>
      </c>
      <c r="FG51" s="43">
        <v>0</v>
      </c>
      <c r="FH51" s="43">
        <v>0</v>
      </c>
      <c r="FI51" s="43">
        <v>0</v>
      </c>
      <c r="FJ51" s="43">
        <v>1.68634064081E-4</v>
      </c>
      <c r="FK51" s="43">
        <v>0</v>
      </c>
      <c r="FL51" s="43">
        <v>0</v>
      </c>
      <c r="FM51" s="43">
        <v>0</v>
      </c>
      <c r="FN51" s="43">
        <v>0</v>
      </c>
      <c r="FO51" s="43">
        <v>1.5177065767300001E-3</v>
      </c>
      <c r="FP51" s="43">
        <v>0</v>
      </c>
      <c r="FQ51" s="43">
        <v>0</v>
      </c>
      <c r="FR51" s="43">
        <v>0</v>
      </c>
      <c r="FS51" s="43">
        <v>0</v>
      </c>
      <c r="FT51" s="43">
        <v>0</v>
      </c>
      <c r="FU51" s="43">
        <v>0</v>
      </c>
      <c r="FV51" s="43">
        <v>0</v>
      </c>
      <c r="FW51" s="43">
        <v>0</v>
      </c>
      <c r="FX51" s="43">
        <v>0</v>
      </c>
      <c r="FY51" s="43">
        <v>0</v>
      </c>
      <c r="FZ51" s="43">
        <v>0</v>
      </c>
      <c r="GA51" s="43">
        <v>0</v>
      </c>
      <c r="GB51" s="43">
        <v>0</v>
      </c>
      <c r="GC51" s="43">
        <v>5.0084317032000003E-2</v>
      </c>
      <c r="GD51" s="43">
        <v>0</v>
      </c>
    </row>
    <row r="52" spans="1:186" ht="16.5" x14ac:dyDescent="0.3">
      <c r="A52" s="21" t="s">
        <v>325</v>
      </c>
      <c r="B52" s="57" t="s">
        <v>287</v>
      </c>
      <c r="C52" s="23">
        <v>14</v>
      </c>
      <c r="D52" s="23" t="s">
        <v>195</v>
      </c>
      <c r="E52" s="24" t="s">
        <v>243</v>
      </c>
      <c r="F52" s="25" t="s">
        <v>326</v>
      </c>
      <c r="G52" s="26" t="s">
        <v>289</v>
      </c>
      <c r="H52" s="51" t="s">
        <v>243</v>
      </c>
      <c r="I52" s="52">
        <v>14</v>
      </c>
      <c r="J52" s="52">
        <v>172</v>
      </c>
      <c r="K52" s="52">
        <v>61</v>
      </c>
      <c r="L52" s="53">
        <f t="shared" si="19"/>
        <v>20.61925365062196</v>
      </c>
      <c r="M52" s="54">
        <v>65</v>
      </c>
      <c r="N52" s="30" t="s">
        <v>186</v>
      </c>
      <c r="O52" s="30" t="s">
        <v>186</v>
      </c>
      <c r="P52" s="30" t="s">
        <v>186</v>
      </c>
      <c r="Q52" s="30" t="s">
        <v>186</v>
      </c>
      <c r="R52" s="30" t="s">
        <v>186</v>
      </c>
      <c r="S52" s="31" t="s">
        <v>186</v>
      </c>
      <c r="T52" s="30" t="s">
        <v>186</v>
      </c>
      <c r="U52" s="30" t="s">
        <v>186</v>
      </c>
      <c r="V52" s="30" t="s">
        <v>186</v>
      </c>
      <c r="W52" s="30" t="s">
        <v>186</v>
      </c>
      <c r="X52" s="25">
        <v>2188.2881385021701</v>
      </c>
      <c r="Y52" s="25">
        <v>1019.6297406988914</v>
      </c>
      <c r="Z52" s="25">
        <v>592.08901910518091</v>
      </c>
      <c r="AA52" s="25">
        <v>592.08901910518091</v>
      </c>
      <c r="AB52" s="25">
        <v>515.4175438843348</v>
      </c>
      <c r="AC52" s="25">
        <v>821.51968990313026</v>
      </c>
      <c r="AD52" s="49" t="s">
        <v>221</v>
      </c>
      <c r="AE52" s="49"/>
      <c r="AF52" s="23" t="s">
        <v>195</v>
      </c>
      <c r="AG52" s="33"/>
      <c r="AH52" s="33"/>
      <c r="AI52" s="34"/>
      <c r="AJ52" s="34"/>
      <c r="AK52" s="49" t="s">
        <v>221</v>
      </c>
      <c r="AL52" s="49" t="s">
        <v>221</v>
      </c>
      <c r="AM52" s="49" t="s">
        <v>221</v>
      </c>
      <c r="AN52" s="49" t="s">
        <v>221</v>
      </c>
      <c r="AO52" s="39">
        <v>11835921.641752601</v>
      </c>
      <c r="AP52" s="39">
        <v>9970836.7831100803</v>
      </c>
      <c r="AQ52" s="39">
        <v>14206558.6669826</v>
      </c>
      <c r="AR52" s="39">
        <v>1420552.7541682301</v>
      </c>
      <c r="AT52" s="47">
        <v>0</v>
      </c>
      <c r="AU52" s="47">
        <v>0.68381112984799997</v>
      </c>
      <c r="AV52" s="47">
        <v>2.44519392917E-2</v>
      </c>
      <c r="AW52" s="47">
        <v>3.4064080944399999E-2</v>
      </c>
      <c r="AX52" s="47">
        <v>0</v>
      </c>
      <c r="AY52" s="47">
        <v>0.25767284991599998</v>
      </c>
      <c r="AZ52" s="47">
        <v>0</v>
      </c>
      <c r="BA52" s="47">
        <v>0</v>
      </c>
      <c r="BB52" s="47">
        <v>0</v>
      </c>
      <c r="BC52" s="47">
        <v>0</v>
      </c>
      <c r="BD52" s="47">
        <v>0</v>
      </c>
      <c r="BE52" s="47">
        <v>0</v>
      </c>
      <c r="BF52" s="47">
        <v>0</v>
      </c>
      <c r="BG52" s="48"/>
      <c r="BH52" s="43">
        <v>0</v>
      </c>
      <c r="BI52" s="43">
        <v>0</v>
      </c>
      <c r="BJ52" s="43">
        <v>0</v>
      </c>
      <c r="BK52" s="43">
        <v>0</v>
      </c>
      <c r="BL52" s="43">
        <v>5.0590219224299997E-4</v>
      </c>
      <c r="BM52" s="43">
        <v>0</v>
      </c>
      <c r="BN52" s="43">
        <v>0</v>
      </c>
      <c r="BO52" s="43">
        <v>0</v>
      </c>
      <c r="BP52" s="43">
        <v>0</v>
      </c>
      <c r="BQ52" s="43">
        <v>0</v>
      </c>
      <c r="BR52" s="43">
        <v>0</v>
      </c>
      <c r="BS52" s="43">
        <v>0</v>
      </c>
      <c r="BT52" s="43">
        <v>1.0623946037100001E-2</v>
      </c>
      <c r="BU52" s="43">
        <v>4.41821247892E-2</v>
      </c>
      <c r="BV52" s="43">
        <v>4.4688026981499998E-2</v>
      </c>
      <c r="BW52" s="43">
        <v>0</v>
      </c>
      <c r="BX52" s="43">
        <v>0.140472175379</v>
      </c>
      <c r="BY52" s="43">
        <v>1.72006745363E-2</v>
      </c>
      <c r="BZ52" s="43">
        <v>0</v>
      </c>
      <c r="CA52" s="43">
        <v>0</v>
      </c>
      <c r="CB52" s="43">
        <v>1.0455311973E-2</v>
      </c>
      <c r="CC52" s="43">
        <v>0</v>
      </c>
      <c r="CD52" s="43">
        <v>0</v>
      </c>
      <c r="CE52" s="43">
        <v>1.16357504216E-2</v>
      </c>
      <c r="CF52" s="43">
        <v>0</v>
      </c>
      <c r="CG52" s="43">
        <v>1.09612141653E-2</v>
      </c>
      <c r="CH52" s="43">
        <v>0</v>
      </c>
      <c r="CI52" s="43">
        <v>0</v>
      </c>
      <c r="CJ52" s="43">
        <v>0</v>
      </c>
      <c r="CK52" s="43">
        <v>0</v>
      </c>
      <c r="CL52" s="43">
        <v>0</v>
      </c>
      <c r="CM52" s="43">
        <v>1.01180438449E-3</v>
      </c>
      <c r="CN52" s="43">
        <v>0</v>
      </c>
      <c r="CO52" s="43">
        <v>0</v>
      </c>
      <c r="CP52" s="43">
        <v>0</v>
      </c>
      <c r="CQ52" s="43">
        <v>0</v>
      </c>
      <c r="CR52" s="43">
        <v>0</v>
      </c>
      <c r="CS52" s="43">
        <v>0</v>
      </c>
      <c r="CT52" s="43">
        <v>0</v>
      </c>
      <c r="CU52" s="43">
        <v>0</v>
      </c>
      <c r="CV52" s="43">
        <v>0</v>
      </c>
      <c r="CW52" s="43">
        <v>0</v>
      </c>
      <c r="CX52" s="43">
        <v>0</v>
      </c>
      <c r="CY52" s="43">
        <v>0</v>
      </c>
      <c r="CZ52" s="43">
        <v>0</v>
      </c>
      <c r="DA52" s="43">
        <v>0</v>
      </c>
      <c r="DB52" s="43">
        <v>0</v>
      </c>
      <c r="DC52" s="43">
        <v>0</v>
      </c>
      <c r="DD52" s="43">
        <v>3.05227655987E-2</v>
      </c>
      <c r="DE52" s="43">
        <v>1.18043844857E-3</v>
      </c>
      <c r="DF52" s="43">
        <v>0</v>
      </c>
      <c r="DG52" s="43">
        <v>8.4485666104599996E-2</v>
      </c>
      <c r="DH52" s="43">
        <v>2.8667790893799998E-3</v>
      </c>
      <c r="DI52" s="43">
        <v>0</v>
      </c>
      <c r="DJ52" s="43">
        <v>2.3777403035400001E-2</v>
      </c>
      <c r="DK52" s="43">
        <v>1.68634064081E-4</v>
      </c>
      <c r="DL52" s="43">
        <v>0</v>
      </c>
      <c r="DM52" s="43">
        <v>0</v>
      </c>
      <c r="DN52" s="43">
        <v>0</v>
      </c>
      <c r="DO52" s="43">
        <v>0</v>
      </c>
      <c r="DP52" s="43">
        <v>4.2158516020200003E-3</v>
      </c>
      <c r="DQ52" s="43">
        <v>8.4148397976400002E-2</v>
      </c>
      <c r="DR52" s="43">
        <v>0</v>
      </c>
      <c r="DS52" s="43">
        <v>1.41652613828E-2</v>
      </c>
      <c r="DT52" s="43">
        <v>7.7571669477199999E-3</v>
      </c>
      <c r="DU52" s="43">
        <v>5.8010118043799998E-2</v>
      </c>
      <c r="DV52" s="43">
        <v>0</v>
      </c>
      <c r="DW52" s="43">
        <v>0</v>
      </c>
      <c r="DX52" s="43">
        <v>0</v>
      </c>
      <c r="DY52" s="43">
        <v>0</v>
      </c>
      <c r="DZ52" s="43">
        <v>0</v>
      </c>
      <c r="EA52" s="43">
        <v>0</v>
      </c>
      <c r="EB52" s="43">
        <v>7.4536256323799996E-2</v>
      </c>
      <c r="EC52" s="43">
        <v>0</v>
      </c>
      <c r="ED52" s="43">
        <v>0.105902192243</v>
      </c>
      <c r="EE52" s="43">
        <v>0</v>
      </c>
      <c r="EF52" s="43">
        <v>1.5008431703200001E-2</v>
      </c>
      <c r="EG52" s="43">
        <v>1.82124789207E-2</v>
      </c>
      <c r="EH52" s="43">
        <v>0</v>
      </c>
      <c r="EI52" s="43">
        <v>0</v>
      </c>
      <c r="EJ52" s="43">
        <v>0</v>
      </c>
      <c r="EK52" s="43">
        <v>0</v>
      </c>
      <c r="EL52" s="43">
        <v>0</v>
      </c>
      <c r="EM52" s="43">
        <v>5.5649241146699998E-3</v>
      </c>
      <c r="EN52" s="43">
        <v>0</v>
      </c>
      <c r="EO52" s="43">
        <v>2.0236087689700002E-3</v>
      </c>
      <c r="EP52" s="43">
        <v>3.0354131534600002E-3</v>
      </c>
      <c r="EQ52" s="43">
        <v>1.68634064081E-4</v>
      </c>
      <c r="ER52" s="43">
        <v>8.4317032040500002E-4</v>
      </c>
      <c r="ES52" s="43">
        <v>0</v>
      </c>
      <c r="ET52" s="43">
        <v>0</v>
      </c>
      <c r="EU52" s="43">
        <v>0</v>
      </c>
      <c r="EV52" s="43">
        <v>0</v>
      </c>
      <c r="EW52" s="43">
        <v>0</v>
      </c>
      <c r="EX52" s="43">
        <v>0</v>
      </c>
      <c r="EY52" s="43">
        <v>1.6357504215900001E-2</v>
      </c>
      <c r="EZ52" s="43">
        <v>0</v>
      </c>
      <c r="FA52" s="43">
        <v>1.68634064081E-4</v>
      </c>
      <c r="FB52" s="43">
        <v>0</v>
      </c>
      <c r="FC52" s="43">
        <v>4.72175379427E-3</v>
      </c>
      <c r="FD52" s="43">
        <v>0</v>
      </c>
      <c r="FE52" s="43">
        <v>0.125969645868</v>
      </c>
      <c r="FF52" s="43">
        <v>0</v>
      </c>
      <c r="FG52" s="43">
        <v>0</v>
      </c>
      <c r="FH52" s="43">
        <v>0</v>
      </c>
      <c r="FI52" s="43">
        <v>0</v>
      </c>
      <c r="FJ52" s="43">
        <v>0</v>
      </c>
      <c r="FK52" s="43">
        <v>0</v>
      </c>
      <c r="FL52" s="43">
        <v>0</v>
      </c>
      <c r="FM52" s="43">
        <v>0</v>
      </c>
      <c r="FN52" s="43">
        <v>0</v>
      </c>
      <c r="FO52" s="43">
        <v>2.44519392917E-2</v>
      </c>
      <c r="FP52" s="43">
        <v>0</v>
      </c>
      <c r="FQ52" s="43">
        <v>0</v>
      </c>
      <c r="FR52" s="43">
        <v>0</v>
      </c>
      <c r="FS52" s="43">
        <v>0</v>
      </c>
      <c r="FT52" s="43">
        <v>0</v>
      </c>
      <c r="FU52" s="43">
        <v>0</v>
      </c>
      <c r="FV52" s="43">
        <v>0</v>
      </c>
      <c r="FW52" s="43">
        <v>0</v>
      </c>
      <c r="FX52" s="43">
        <v>0</v>
      </c>
      <c r="FY52" s="43">
        <v>0</v>
      </c>
      <c r="FZ52" s="43">
        <v>0</v>
      </c>
      <c r="GA52" s="43">
        <v>0</v>
      </c>
      <c r="GB52" s="43">
        <v>0</v>
      </c>
      <c r="GC52" s="43">
        <v>0</v>
      </c>
      <c r="GD52" s="43">
        <v>0</v>
      </c>
    </row>
    <row r="53" spans="1:186" ht="16.5" x14ac:dyDescent="0.3">
      <c r="A53" s="21" t="s">
        <v>327</v>
      </c>
      <c r="B53" s="57" t="s">
        <v>287</v>
      </c>
      <c r="C53" s="23">
        <v>7</v>
      </c>
      <c r="D53" s="23" t="s">
        <v>183</v>
      </c>
      <c r="E53" s="24" t="s">
        <v>184</v>
      </c>
      <c r="F53" s="25" t="s">
        <v>328</v>
      </c>
      <c r="G53" s="26" t="s">
        <v>289</v>
      </c>
      <c r="H53" s="26" t="s">
        <v>184</v>
      </c>
      <c r="I53" s="27">
        <v>7</v>
      </c>
      <c r="J53" s="27">
        <v>125</v>
      </c>
      <c r="K53" s="27">
        <v>21</v>
      </c>
      <c r="L53" s="28">
        <f t="shared" si="19"/>
        <v>13.44</v>
      </c>
      <c r="M53" s="29">
        <v>2</v>
      </c>
      <c r="N53" s="30" t="s">
        <v>186</v>
      </c>
      <c r="O53" s="30" t="s">
        <v>186</v>
      </c>
      <c r="P53" s="30" t="s">
        <v>186</v>
      </c>
      <c r="Q53" s="30" t="s">
        <v>186</v>
      </c>
      <c r="R53" s="30" t="s">
        <v>186</v>
      </c>
      <c r="S53" s="31" t="s">
        <v>186</v>
      </c>
      <c r="T53" s="30" t="s">
        <v>186</v>
      </c>
      <c r="U53" s="30" t="s">
        <v>186</v>
      </c>
      <c r="V53" s="30" t="s">
        <v>186</v>
      </c>
      <c r="W53" s="30" t="s">
        <v>186</v>
      </c>
      <c r="X53" s="25">
        <v>2839.671435078189</v>
      </c>
      <c r="Y53" s="25">
        <v>914.78770353494269</v>
      </c>
      <c r="Z53" s="25">
        <v>981.859515586984</v>
      </c>
      <c r="AA53" s="25">
        <v>981.859515586984</v>
      </c>
      <c r="AB53" s="25">
        <v>939.86061567366232</v>
      </c>
      <c r="AC53" s="25">
        <v>850.2002908967487</v>
      </c>
      <c r="AD53" s="32">
        <v>75.599999999999994</v>
      </c>
      <c r="AE53" s="55">
        <v>16</v>
      </c>
      <c r="AF53" s="23" t="s">
        <v>183</v>
      </c>
      <c r="AG53" s="33">
        <v>145.1</v>
      </c>
      <c r="AH53" s="33">
        <v>18.2</v>
      </c>
      <c r="AI53" s="34">
        <f t="shared" ref="AI53:AI77" si="20">AE53/AG53*100</f>
        <v>11.026878015161957</v>
      </c>
      <c r="AJ53" s="34">
        <f t="shared" ref="AJ53:AJ77" si="21">AE53/AH53*100</f>
        <v>87.912087912087912</v>
      </c>
      <c r="AK53" s="60">
        <v>145.1</v>
      </c>
      <c r="AL53" s="58">
        <f t="shared" ref="AL53:AL77" si="22">(AE53/AK53)*100</f>
        <v>11.026878015161957</v>
      </c>
      <c r="AM53" s="37">
        <v>18.2</v>
      </c>
      <c r="AN53" s="61">
        <f t="shared" ref="AN53:AN77" si="23">(AE53/AM53)*100</f>
        <v>87.912087912087912</v>
      </c>
      <c r="AO53" s="39">
        <v>6712659.0533004701</v>
      </c>
      <c r="AP53" s="39">
        <v>57944702.022209696</v>
      </c>
      <c r="AQ53" s="39">
        <v>5335994.24644781</v>
      </c>
      <c r="AR53" s="39">
        <v>31779584.9632666</v>
      </c>
      <c r="AT53" s="47">
        <v>9.9662731871799998E-2</v>
      </c>
      <c r="AU53" s="47">
        <v>0.67639123102900001</v>
      </c>
      <c r="AV53" s="47">
        <v>6.74536256324E-4</v>
      </c>
      <c r="AW53" s="47">
        <v>0.134738617201</v>
      </c>
      <c r="AX53" s="47">
        <v>3.37268128162E-4</v>
      </c>
      <c r="AY53" s="47">
        <v>8.8195615514299996E-2</v>
      </c>
      <c r="AZ53" s="47">
        <v>0</v>
      </c>
      <c r="BA53" s="47">
        <v>0</v>
      </c>
      <c r="BB53" s="47">
        <v>0</v>
      </c>
      <c r="BC53" s="47">
        <v>0</v>
      </c>
      <c r="BD53" s="47">
        <v>0</v>
      </c>
      <c r="BE53" s="47">
        <v>0</v>
      </c>
      <c r="BF53" s="47">
        <v>0</v>
      </c>
      <c r="BG53" s="48"/>
      <c r="BH53" s="43">
        <v>0</v>
      </c>
      <c r="BI53" s="43">
        <v>0</v>
      </c>
      <c r="BJ53" s="43">
        <v>0</v>
      </c>
      <c r="BK53" s="43">
        <v>0</v>
      </c>
      <c r="BL53" s="43">
        <v>0</v>
      </c>
      <c r="BM53" s="43">
        <v>3.37268128162E-4</v>
      </c>
      <c r="BN53" s="43">
        <v>0</v>
      </c>
      <c r="BO53" s="43">
        <v>0</v>
      </c>
      <c r="BP53" s="43">
        <v>0</v>
      </c>
      <c r="BQ53" s="43">
        <v>0</v>
      </c>
      <c r="BR53" s="43">
        <v>0</v>
      </c>
      <c r="BS53" s="43">
        <v>0</v>
      </c>
      <c r="BT53" s="43">
        <v>3.8785834738599999E-2</v>
      </c>
      <c r="BU53" s="43">
        <v>0</v>
      </c>
      <c r="BV53" s="43">
        <v>1.5682967959499999E-2</v>
      </c>
      <c r="BW53" s="43">
        <v>0</v>
      </c>
      <c r="BX53" s="43">
        <v>3.3389544687999997E-2</v>
      </c>
      <c r="BY53" s="43">
        <v>0</v>
      </c>
      <c r="BZ53" s="43">
        <v>0</v>
      </c>
      <c r="CA53" s="43">
        <v>0</v>
      </c>
      <c r="CB53" s="43">
        <v>5.9696458684699999E-2</v>
      </c>
      <c r="CC53" s="43">
        <v>2.79932546374E-2</v>
      </c>
      <c r="CD53" s="43">
        <v>0</v>
      </c>
      <c r="CE53" s="43">
        <v>0</v>
      </c>
      <c r="CF53" s="43">
        <v>0</v>
      </c>
      <c r="CG53" s="43">
        <v>1.0792580101199999E-2</v>
      </c>
      <c r="CH53" s="43">
        <v>3.30522765599E-2</v>
      </c>
      <c r="CI53" s="43">
        <v>1.85497470489E-3</v>
      </c>
      <c r="CJ53" s="43">
        <v>0</v>
      </c>
      <c r="CK53" s="43">
        <v>1.3490725126499999E-3</v>
      </c>
      <c r="CL53" s="43">
        <v>0</v>
      </c>
      <c r="CM53" s="43">
        <v>0</v>
      </c>
      <c r="CN53" s="43">
        <v>0</v>
      </c>
      <c r="CO53" s="43">
        <v>0</v>
      </c>
      <c r="CP53" s="43">
        <v>0</v>
      </c>
      <c r="CQ53" s="43">
        <v>0</v>
      </c>
      <c r="CR53" s="43">
        <v>0</v>
      </c>
      <c r="CS53" s="43">
        <v>0</v>
      </c>
      <c r="CT53" s="43">
        <v>0</v>
      </c>
      <c r="CU53" s="43">
        <v>0</v>
      </c>
      <c r="CV53" s="43">
        <v>0</v>
      </c>
      <c r="CW53" s="43">
        <v>0</v>
      </c>
      <c r="CX53" s="43">
        <v>0</v>
      </c>
      <c r="CY53" s="43">
        <v>0</v>
      </c>
      <c r="CZ53" s="43">
        <v>0</v>
      </c>
      <c r="DA53" s="43">
        <v>0</v>
      </c>
      <c r="DB53" s="43">
        <v>1.01180438449E-3</v>
      </c>
      <c r="DC53" s="43">
        <v>0</v>
      </c>
      <c r="DD53" s="43">
        <v>6.74536256324E-4</v>
      </c>
      <c r="DE53" s="43">
        <v>0</v>
      </c>
      <c r="DF53" s="43">
        <v>0</v>
      </c>
      <c r="DG53" s="43">
        <v>0.12209106239500001</v>
      </c>
      <c r="DH53" s="43">
        <v>4.55311973019E-3</v>
      </c>
      <c r="DI53" s="43">
        <v>0</v>
      </c>
      <c r="DJ53" s="43">
        <v>3.3726812816200001E-3</v>
      </c>
      <c r="DK53" s="43">
        <v>1.18043844857E-3</v>
      </c>
      <c r="DL53" s="43">
        <v>0</v>
      </c>
      <c r="DM53" s="43">
        <v>0</v>
      </c>
      <c r="DN53" s="43">
        <v>0</v>
      </c>
      <c r="DO53" s="43">
        <v>0</v>
      </c>
      <c r="DP53" s="43">
        <v>0</v>
      </c>
      <c r="DQ53" s="43">
        <v>8.83642495784E-2</v>
      </c>
      <c r="DR53" s="43">
        <v>0</v>
      </c>
      <c r="DS53" s="43">
        <v>3.8279932546399997E-2</v>
      </c>
      <c r="DT53" s="43">
        <v>3.3726812816200001E-3</v>
      </c>
      <c r="DU53" s="43">
        <v>0</v>
      </c>
      <c r="DV53" s="43">
        <v>0</v>
      </c>
      <c r="DW53" s="43">
        <v>0</v>
      </c>
      <c r="DX53" s="43">
        <v>3.8279932546399997E-2</v>
      </c>
      <c r="DY53" s="43">
        <v>0</v>
      </c>
      <c r="DZ53" s="43">
        <v>0</v>
      </c>
      <c r="EA53" s="43">
        <v>0</v>
      </c>
      <c r="EB53" s="43">
        <v>1.9392917369299999E-2</v>
      </c>
      <c r="EC53" s="43">
        <v>1.3490725126499999E-3</v>
      </c>
      <c r="ED53" s="43">
        <v>0.14114671163600001</v>
      </c>
      <c r="EE53" s="43">
        <v>2.7487352445200001E-2</v>
      </c>
      <c r="EF53" s="43">
        <v>9.4435075885299993E-3</v>
      </c>
      <c r="EG53" s="43">
        <v>5.4806070826299999E-2</v>
      </c>
      <c r="EH53" s="43">
        <v>0</v>
      </c>
      <c r="EI53" s="43">
        <v>9.3591905564900005E-2</v>
      </c>
      <c r="EJ53" s="43">
        <v>0</v>
      </c>
      <c r="EK53" s="43">
        <v>0</v>
      </c>
      <c r="EL53" s="43">
        <v>0</v>
      </c>
      <c r="EM53" s="43">
        <v>8.9376053962900003E-3</v>
      </c>
      <c r="EN53" s="43">
        <v>0</v>
      </c>
      <c r="EO53" s="43">
        <v>0</v>
      </c>
      <c r="EP53" s="43">
        <v>5.5649241146699998E-3</v>
      </c>
      <c r="EQ53" s="43">
        <v>0</v>
      </c>
      <c r="ER53" s="43">
        <v>0</v>
      </c>
      <c r="ES53" s="43">
        <v>0</v>
      </c>
      <c r="ET53" s="43">
        <v>0</v>
      </c>
      <c r="EU53" s="43">
        <v>0</v>
      </c>
      <c r="EV53" s="43">
        <v>0</v>
      </c>
      <c r="EW53" s="43">
        <v>0</v>
      </c>
      <c r="EX53" s="43">
        <v>0</v>
      </c>
      <c r="EY53" s="43">
        <v>1.34907251265E-2</v>
      </c>
      <c r="EZ53" s="43">
        <v>0</v>
      </c>
      <c r="FA53" s="43">
        <v>0</v>
      </c>
      <c r="FB53" s="43">
        <v>0</v>
      </c>
      <c r="FC53" s="43">
        <v>0</v>
      </c>
      <c r="FD53" s="43">
        <v>0</v>
      </c>
      <c r="FE53" s="43">
        <v>0</v>
      </c>
      <c r="FF53" s="43">
        <v>0</v>
      </c>
      <c r="FG53" s="43">
        <v>3.37268128162E-4</v>
      </c>
      <c r="FH53" s="43">
        <v>0</v>
      </c>
      <c r="FI53" s="43">
        <v>0</v>
      </c>
      <c r="FJ53" s="43">
        <v>0</v>
      </c>
      <c r="FK53" s="43">
        <v>0</v>
      </c>
      <c r="FL53" s="43">
        <v>0</v>
      </c>
      <c r="FM53" s="43">
        <v>0</v>
      </c>
      <c r="FN53" s="43">
        <v>0</v>
      </c>
      <c r="FO53" s="43">
        <v>0</v>
      </c>
      <c r="FP53" s="43">
        <v>0</v>
      </c>
      <c r="FQ53" s="43">
        <v>0</v>
      </c>
      <c r="FR53" s="43">
        <v>3.37268128162E-4</v>
      </c>
      <c r="FS53" s="43">
        <v>0</v>
      </c>
      <c r="FT53" s="43">
        <v>0</v>
      </c>
      <c r="FU53" s="43">
        <v>0</v>
      </c>
      <c r="FV53" s="43">
        <v>0</v>
      </c>
      <c r="FW53" s="43">
        <v>0</v>
      </c>
      <c r="FX53" s="43">
        <v>0</v>
      </c>
      <c r="FY53" s="43">
        <v>0</v>
      </c>
      <c r="FZ53" s="43">
        <v>3.37268128162E-4</v>
      </c>
      <c r="GA53" s="43">
        <v>0</v>
      </c>
      <c r="GB53" s="43">
        <v>0</v>
      </c>
      <c r="GC53" s="43">
        <v>9.9662731871799998E-2</v>
      </c>
      <c r="GD53" s="43">
        <v>0</v>
      </c>
    </row>
    <row r="54" spans="1:186" ht="16.5" x14ac:dyDescent="0.3">
      <c r="A54" s="21" t="s">
        <v>329</v>
      </c>
      <c r="B54" s="57" t="s">
        <v>287</v>
      </c>
      <c r="C54" s="23">
        <v>11</v>
      </c>
      <c r="D54" s="23" t="s">
        <v>183</v>
      </c>
      <c r="E54" s="24" t="s">
        <v>243</v>
      </c>
      <c r="F54" s="25" t="s">
        <v>330</v>
      </c>
      <c r="G54" s="26" t="s">
        <v>289</v>
      </c>
      <c r="H54" s="51" t="s">
        <v>243</v>
      </c>
      <c r="I54" s="52">
        <v>11</v>
      </c>
      <c r="J54" s="52">
        <v>134</v>
      </c>
      <c r="K54" s="52">
        <v>32</v>
      </c>
      <c r="L54" s="53">
        <f t="shared" si="19"/>
        <v>17.821341055914456</v>
      </c>
      <c r="M54" s="54">
        <v>55</v>
      </c>
      <c r="N54" s="30" t="s">
        <v>186</v>
      </c>
      <c r="O54" s="30" t="s">
        <v>186</v>
      </c>
      <c r="P54" s="30" t="s">
        <v>186</v>
      </c>
      <c r="Q54" s="30" t="s">
        <v>186</v>
      </c>
      <c r="R54" s="30" t="s">
        <v>186</v>
      </c>
      <c r="S54" s="31" t="s">
        <v>331</v>
      </c>
      <c r="T54" s="30" t="s">
        <v>186</v>
      </c>
      <c r="U54" s="30" t="s">
        <v>186</v>
      </c>
      <c r="V54" s="30" t="s">
        <v>186</v>
      </c>
      <c r="W54" s="30" t="s">
        <v>186</v>
      </c>
      <c r="X54" s="25">
        <v>1066.4748379096829</v>
      </c>
      <c r="Y54" s="25">
        <v>258.87896854331296</v>
      </c>
      <c r="Z54" s="25">
        <v>311.38621841302717</v>
      </c>
      <c r="AA54" s="25">
        <v>311.38621841302717</v>
      </c>
      <c r="AB54" s="25">
        <v>307.58215605602834</v>
      </c>
      <c r="AC54" s="25">
        <v>351.70714210695371</v>
      </c>
      <c r="AD54" s="32">
        <v>167.9</v>
      </c>
      <c r="AE54" s="32">
        <v>66.239999999999995</v>
      </c>
      <c r="AF54" s="23" t="s">
        <v>183</v>
      </c>
      <c r="AG54" s="33">
        <v>66.2</v>
      </c>
      <c r="AH54" s="33">
        <v>14.7</v>
      </c>
      <c r="AI54" s="34">
        <f t="shared" si="20"/>
        <v>100.06042296072506</v>
      </c>
      <c r="AJ54" s="34">
        <f t="shared" si="21"/>
        <v>450.61224489795916</v>
      </c>
      <c r="AK54" s="60">
        <v>66.2</v>
      </c>
      <c r="AL54" s="58">
        <f t="shared" si="22"/>
        <v>100.06042296072506</v>
      </c>
      <c r="AM54" s="37">
        <v>14.7</v>
      </c>
      <c r="AN54" s="61">
        <f t="shared" si="23"/>
        <v>450.61224489795916</v>
      </c>
      <c r="AO54" s="39">
        <v>4856473.1483502397</v>
      </c>
      <c r="AP54" s="39">
        <v>14109204.884359101</v>
      </c>
      <c r="AQ54" s="39">
        <v>51343624.067953601</v>
      </c>
      <c r="AR54" s="39">
        <v>2914034.0782386698</v>
      </c>
      <c r="AT54" s="47">
        <v>7.0320404721799998E-2</v>
      </c>
      <c r="AU54" s="47">
        <v>0.72596964586799995</v>
      </c>
      <c r="AV54" s="47">
        <v>5.0758853288399998E-2</v>
      </c>
      <c r="AW54" s="47">
        <v>5.76728499157E-2</v>
      </c>
      <c r="AX54" s="47">
        <v>0</v>
      </c>
      <c r="AY54" s="47">
        <v>8.68465430017E-2</v>
      </c>
      <c r="AZ54" s="47">
        <v>7.9258010117999999E-3</v>
      </c>
      <c r="BA54" s="47">
        <v>5.0590219224299997E-4</v>
      </c>
      <c r="BB54" s="47">
        <v>0</v>
      </c>
      <c r="BC54" s="47">
        <v>0</v>
      </c>
      <c r="BD54" s="47">
        <v>0</v>
      </c>
      <c r="BE54" s="47">
        <v>0</v>
      </c>
      <c r="BF54" s="47">
        <v>0</v>
      </c>
      <c r="BG54" s="48"/>
      <c r="BH54" s="43">
        <v>0</v>
      </c>
      <c r="BI54" s="43">
        <v>0</v>
      </c>
      <c r="BJ54" s="43">
        <v>7.9258010117999999E-3</v>
      </c>
      <c r="BK54" s="43">
        <v>0</v>
      </c>
      <c r="BL54" s="43">
        <v>0</v>
      </c>
      <c r="BM54" s="43">
        <v>0</v>
      </c>
      <c r="BN54" s="43">
        <v>0</v>
      </c>
      <c r="BO54" s="43">
        <v>0</v>
      </c>
      <c r="BP54" s="43">
        <v>0</v>
      </c>
      <c r="BQ54" s="43">
        <v>0</v>
      </c>
      <c r="BR54" s="43">
        <v>0</v>
      </c>
      <c r="BS54" s="43">
        <v>0</v>
      </c>
      <c r="BT54" s="43">
        <v>8.0438448566599999E-2</v>
      </c>
      <c r="BU54" s="43">
        <v>0</v>
      </c>
      <c r="BV54" s="43">
        <v>3.3726812816200001E-3</v>
      </c>
      <c r="BW54" s="43">
        <v>0</v>
      </c>
      <c r="BX54" s="43">
        <v>3.0354131534600002E-3</v>
      </c>
      <c r="BY54" s="43">
        <v>0</v>
      </c>
      <c r="BZ54" s="43">
        <v>0</v>
      </c>
      <c r="CA54" s="43">
        <v>0</v>
      </c>
      <c r="CB54" s="43">
        <v>3.4738617200699998E-2</v>
      </c>
      <c r="CC54" s="43">
        <v>2.0236087689700002E-3</v>
      </c>
      <c r="CD54" s="43">
        <v>6.74536256324E-4</v>
      </c>
      <c r="CE54" s="43">
        <v>1.68634064081E-4</v>
      </c>
      <c r="CF54" s="43">
        <v>0</v>
      </c>
      <c r="CG54" s="43">
        <v>1.5682967959499999E-2</v>
      </c>
      <c r="CH54" s="43">
        <v>0</v>
      </c>
      <c r="CI54" s="43">
        <v>3.70994940978E-3</v>
      </c>
      <c r="CJ54" s="43">
        <v>0</v>
      </c>
      <c r="CK54" s="43">
        <v>6.74536256324E-4</v>
      </c>
      <c r="CL54" s="43">
        <v>0</v>
      </c>
      <c r="CM54" s="43">
        <v>0</v>
      </c>
      <c r="CN54" s="43">
        <v>0</v>
      </c>
      <c r="CO54" s="43">
        <v>0</v>
      </c>
      <c r="CP54" s="43">
        <v>0</v>
      </c>
      <c r="CQ54" s="43">
        <v>0</v>
      </c>
      <c r="CR54" s="43">
        <v>0</v>
      </c>
      <c r="CS54" s="43">
        <v>0</v>
      </c>
      <c r="CT54" s="43">
        <v>0</v>
      </c>
      <c r="CU54" s="43">
        <v>0</v>
      </c>
      <c r="CV54" s="43">
        <v>0</v>
      </c>
      <c r="CW54" s="43">
        <v>0</v>
      </c>
      <c r="CX54" s="43">
        <v>0</v>
      </c>
      <c r="CY54" s="43">
        <v>0</v>
      </c>
      <c r="CZ54" s="43">
        <v>0</v>
      </c>
      <c r="DA54" s="43">
        <v>1.7369308600300001E-2</v>
      </c>
      <c r="DB54" s="43">
        <v>0</v>
      </c>
      <c r="DC54" s="43">
        <v>0</v>
      </c>
      <c r="DD54" s="43">
        <v>3.2040472175400001E-3</v>
      </c>
      <c r="DE54" s="43">
        <v>0</v>
      </c>
      <c r="DF54" s="43">
        <v>0</v>
      </c>
      <c r="DG54" s="43">
        <v>9.7301854974699994E-2</v>
      </c>
      <c r="DH54" s="43">
        <v>3.3726812816200001E-3</v>
      </c>
      <c r="DI54" s="43">
        <v>0</v>
      </c>
      <c r="DJ54" s="43">
        <v>0</v>
      </c>
      <c r="DK54" s="43">
        <v>3.37268128162E-4</v>
      </c>
      <c r="DL54" s="43">
        <v>0</v>
      </c>
      <c r="DM54" s="43">
        <v>1.3490725126499999E-3</v>
      </c>
      <c r="DN54" s="43">
        <v>0</v>
      </c>
      <c r="DO54" s="43">
        <v>6.74536256324E-4</v>
      </c>
      <c r="DP54" s="43">
        <v>8.4317032040500002E-4</v>
      </c>
      <c r="DQ54" s="43">
        <v>5.0421585160199997E-2</v>
      </c>
      <c r="DR54" s="43">
        <v>8.4317032040500002E-4</v>
      </c>
      <c r="DS54" s="43">
        <v>0.126306913997</v>
      </c>
      <c r="DT54" s="43">
        <v>3.2377740303499998E-2</v>
      </c>
      <c r="DU54" s="43">
        <v>1.6694772343999999E-2</v>
      </c>
      <c r="DV54" s="43">
        <v>0</v>
      </c>
      <c r="DW54" s="43">
        <v>0</v>
      </c>
      <c r="DX54" s="43">
        <v>5.0590219224299999E-3</v>
      </c>
      <c r="DY54" s="43">
        <v>0</v>
      </c>
      <c r="DZ54" s="43">
        <v>5.02529510961E-2</v>
      </c>
      <c r="EA54" s="43">
        <v>0</v>
      </c>
      <c r="EB54" s="43">
        <v>2.0067453625600001E-2</v>
      </c>
      <c r="EC54" s="43">
        <v>0</v>
      </c>
      <c r="ED54" s="43">
        <v>0.10033726812800001</v>
      </c>
      <c r="EE54" s="43">
        <v>0</v>
      </c>
      <c r="EF54" s="43">
        <v>0</v>
      </c>
      <c r="EG54" s="43">
        <v>4.3844856661000003E-3</v>
      </c>
      <c r="EH54" s="43">
        <v>0</v>
      </c>
      <c r="EI54" s="43">
        <v>0</v>
      </c>
      <c r="EJ54" s="43">
        <v>0</v>
      </c>
      <c r="EK54" s="43">
        <v>0</v>
      </c>
      <c r="EL54" s="43">
        <v>0</v>
      </c>
      <c r="EM54" s="43">
        <v>0</v>
      </c>
      <c r="EN54" s="43">
        <v>0</v>
      </c>
      <c r="EO54" s="43">
        <v>0</v>
      </c>
      <c r="EP54" s="43">
        <v>2.5295109612100001E-3</v>
      </c>
      <c r="EQ54" s="43">
        <v>0</v>
      </c>
      <c r="ER54" s="43">
        <v>3.37268128162E-4</v>
      </c>
      <c r="ES54" s="43">
        <v>0</v>
      </c>
      <c r="ET54" s="43">
        <v>0</v>
      </c>
      <c r="EU54" s="43">
        <v>0</v>
      </c>
      <c r="EV54" s="43">
        <v>0</v>
      </c>
      <c r="EW54" s="43">
        <v>0</v>
      </c>
      <c r="EX54" s="43">
        <v>1.3490725126499999E-3</v>
      </c>
      <c r="EY54" s="43">
        <v>0.18836424957799999</v>
      </c>
      <c r="EZ54" s="43">
        <v>0</v>
      </c>
      <c r="FA54" s="43">
        <v>0</v>
      </c>
      <c r="FB54" s="43">
        <v>0</v>
      </c>
      <c r="FC54" s="43">
        <v>0</v>
      </c>
      <c r="FD54" s="43">
        <v>0</v>
      </c>
      <c r="FE54" s="43">
        <v>2.1922428330500001E-3</v>
      </c>
      <c r="FF54" s="43">
        <v>0</v>
      </c>
      <c r="FG54" s="43">
        <v>0</v>
      </c>
      <c r="FH54" s="43">
        <v>0</v>
      </c>
      <c r="FI54" s="43">
        <v>0</v>
      </c>
      <c r="FJ54" s="43">
        <v>6.74536256324E-4</v>
      </c>
      <c r="FK54" s="43">
        <v>0</v>
      </c>
      <c r="FL54" s="43">
        <v>0</v>
      </c>
      <c r="FM54" s="43">
        <v>0</v>
      </c>
      <c r="FN54" s="43">
        <v>0</v>
      </c>
      <c r="FO54" s="43">
        <v>5.0084317032000003E-2</v>
      </c>
      <c r="FP54" s="43">
        <v>0</v>
      </c>
      <c r="FQ54" s="43">
        <v>0</v>
      </c>
      <c r="FR54" s="43">
        <v>0</v>
      </c>
      <c r="FS54" s="43">
        <v>0</v>
      </c>
      <c r="FT54" s="43">
        <v>0</v>
      </c>
      <c r="FU54" s="43">
        <v>0</v>
      </c>
      <c r="FV54" s="43">
        <v>0</v>
      </c>
      <c r="FW54" s="43">
        <v>0</v>
      </c>
      <c r="FX54" s="43">
        <v>0</v>
      </c>
      <c r="FY54" s="43">
        <v>0</v>
      </c>
      <c r="FZ54" s="43">
        <v>0</v>
      </c>
      <c r="GA54" s="43">
        <v>0</v>
      </c>
      <c r="GB54" s="43">
        <v>5.0590219224299997E-4</v>
      </c>
      <c r="GC54" s="43">
        <v>7.0320404721799998E-2</v>
      </c>
      <c r="GD54" s="43">
        <v>0</v>
      </c>
    </row>
    <row r="55" spans="1:186" ht="16.5" x14ac:dyDescent="0.3">
      <c r="A55" s="21" t="s">
        <v>332</v>
      </c>
      <c r="B55" s="57" t="s">
        <v>287</v>
      </c>
      <c r="C55" s="23">
        <v>11</v>
      </c>
      <c r="D55" s="23" t="s">
        <v>183</v>
      </c>
      <c r="E55" s="24" t="s">
        <v>243</v>
      </c>
      <c r="F55" s="25" t="s">
        <v>333</v>
      </c>
      <c r="G55" s="26" t="s">
        <v>289</v>
      </c>
      <c r="H55" s="51" t="s">
        <v>243</v>
      </c>
      <c r="I55" s="52">
        <v>11</v>
      </c>
      <c r="J55" s="52">
        <v>140</v>
      </c>
      <c r="K55" s="52">
        <v>31</v>
      </c>
      <c r="L55" s="53">
        <f t="shared" si="19"/>
        <v>15.816326530612248</v>
      </c>
      <c r="M55" s="54">
        <v>22</v>
      </c>
      <c r="N55" s="30" t="s">
        <v>186</v>
      </c>
      <c r="O55" s="30" t="s">
        <v>186</v>
      </c>
      <c r="P55" s="30" t="s">
        <v>186</v>
      </c>
      <c r="Q55" s="30" t="s">
        <v>186</v>
      </c>
      <c r="R55" s="30" t="s">
        <v>186</v>
      </c>
      <c r="S55" s="31" t="s">
        <v>186</v>
      </c>
      <c r="T55" s="30" t="s">
        <v>186</v>
      </c>
      <c r="U55" s="30" t="s">
        <v>186</v>
      </c>
      <c r="V55" s="30" t="s">
        <v>186</v>
      </c>
      <c r="W55" s="30" t="s">
        <v>186</v>
      </c>
      <c r="X55" s="25">
        <v>1693.0733647398793</v>
      </c>
      <c r="Y55" s="25">
        <v>466.02737140952047</v>
      </c>
      <c r="Z55" s="25">
        <v>315.91263880559978</v>
      </c>
      <c r="AA55" s="25">
        <v>578.07789528979686</v>
      </c>
      <c r="AB55" s="25">
        <v>482.36461213608823</v>
      </c>
      <c r="AC55" s="25">
        <v>368.32722957682944</v>
      </c>
      <c r="AD55" s="32">
        <v>63.45</v>
      </c>
      <c r="AE55" s="32">
        <v>21.105</v>
      </c>
      <c r="AF55" s="23" t="s">
        <v>183</v>
      </c>
      <c r="AG55" s="33">
        <v>66.2</v>
      </c>
      <c r="AH55" s="33">
        <v>14.7</v>
      </c>
      <c r="AI55" s="34">
        <f t="shared" si="20"/>
        <v>31.880664652567976</v>
      </c>
      <c r="AJ55" s="34">
        <f t="shared" si="21"/>
        <v>143.57142857142858</v>
      </c>
      <c r="AK55" s="60">
        <v>66.2</v>
      </c>
      <c r="AL55" s="58">
        <f t="shared" si="22"/>
        <v>31.880664652567976</v>
      </c>
      <c r="AM55" s="37">
        <v>14.7</v>
      </c>
      <c r="AN55" s="61">
        <f t="shared" si="23"/>
        <v>143.57142857142858</v>
      </c>
      <c r="AO55" s="39">
        <v>30514578.667333402</v>
      </c>
      <c r="AP55" s="39">
        <v>10021715.1255635</v>
      </c>
      <c r="AQ55" s="39">
        <v>11957265.6854844</v>
      </c>
      <c r="AR55" s="39">
        <v>10535690.6944985</v>
      </c>
      <c r="AT55" s="47">
        <v>4.3170320404700001E-2</v>
      </c>
      <c r="AU55" s="47">
        <v>0.28819561551400003</v>
      </c>
      <c r="AV55" s="47">
        <v>1.5177065767300001E-3</v>
      </c>
      <c r="AW55" s="47">
        <v>3.70994940978E-3</v>
      </c>
      <c r="AX55" s="47">
        <v>0</v>
      </c>
      <c r="AY55" s="47">
        <v>0.65598650927500002</v>
      </c>
      <c r="AZ55" s="47">
        <v>0</v>
      </c>
      <c r="BA55" s="47">
        <v>0</v>
      </c>
      <c r="BB55" s="47">
        <v>1.68634064081E-4</v>
      </c>
      <c r="BC55" s="47">
        <v>0</v>
      </c>
      <c r="BD55" s="47">
        <v>0</v>
      </c>
      <c r="BE55" s="47">
        <v>0</v>
      </c>
      <c r="BF55" s="47">
        <v>7.2512647554800001E-3</v>
      </c>
      <c r="BG55" s="48"/>
      <c r="BH55" s="43">
        <v>1.68634064081E-4</v>
      </c>
      <c r="BI55" s="43">
        <v>0</v>
      </c>
      <c r="BJ55" s="43">
        <v>0</v>
      </c>
      <c r="BK55" s="43">
        <v>0</v>
      </c>
      <c r="BL55" s="43">
        <v>0</v>
      </c>
      <c r="BM55" s="43">
        <v>0</v>
      </c>
      <c r="BN55" s="43">
        <v>0</v>
      </c>
      <c r="BO55" s="43">
        <v>0</v>
      </c>
      <c r="BP55" s="43">
        <v>0</v>
      </c>
      <c r="BQ55" s="43">
        <v>0</v>
      </c>
      <c r="BR55" s="43">
        <v>1.3490725126499999E-3</v>
      </c>
      <c r="BS55" s="43">
        <v>0</v>
      </c>
      <c r="BT55" s="43">
        <v>0.550084317032</v>
      </c>
      <c r="BU55" s="43">
        <v>0</v>
      </c>
      <c r="BV55" s="43">
        <v>3.3558178752100001E-2</v>
      </c>
      <c r="BW55" s="43">
        <v>0</v>
      </c>
      <c r="BX55" s="43">
        <v>6.9308600337300005E-2</v>
      </c>
      <c r="BY55" s="43">
        <v>1.68634064081E-3</v>
      </c>
      <c r="BZ55" s="43">
        <v>0</v>
      </c>
      <c r="CA55" s="43">
        <v>0</v>
      </c>
      <c r="CB55" s="43">
        <v>3.2040472175400001E-3</v>
      </c>
      <c r="CC55" s="43">
        <v>5.0590219224299997E-4</v>
      </c>
      <c r="CD55" s="43">
        <v>0</v>
      </c>
      <c r="CE55" s="43">
        <v>0</v>
      </c>
      <c r="CF55" s="43">
        <v>0</v>
      </c>
      <c r="CG55" s="43">
        <v>0</v>
      </c>
      <c r="CH55" s="43">
        <v>0</v>
      </c>
      <c r="CI55" s="43">
        <v>0</v>
      </c>
      <c r="CJ55" s="43">
        <v>0</v>
      </c>
      <c r="CK55" s="43">
        <v>0</v>
      </c>
      <c r="CL55" s="43">
        <v>0</v>
      </c>
      <c r="CM55" s="43">
        <v>0</v>
      </c>
      <c r="CN55" s="43">
        <v>0</v>
      </c>
      <c r="CO55" s="43">
        <v>0</v>
      </c>
      <c r="CP55" s="43">
        <v>0</v>
      </c>
      <c r="CQ55" s="43">
        <v>0</v>
      </c>
      <c r="CR55" s="43">
        <v>0</v>
      </c>
      <c r="CS55" s="43">
        <v>3.37268128162E-4</v>
      </c>
      <c r="CT55" s="43">
        <v>0</v>
      </c>
      <c r="CU55" s="43">
        <v>0</v>
      </c>
      <c r="CV55" s="43">
        <v>0</v>
      </c>
      <c r="CW55" s="43">
        <v>0</v>
      </c>
      <c r="CX55" s="43">
        <v>0</v>
      </c>
      <c r="CY55" s="43">
        <v>0</v>
      </c>
      <c r="CZ55" s="43">
        <v>3.5750421585199997E-2</v>
      </c>
      <c r="DA55" s="43">
        <v>0</v>
      </c>
      <c r="DB55" s="43">
        <v>0</v>
      </c>
      <c r="DC55" s="43">
        <v>1.3490725126499999E-3</v>
      </c>
      <c r="DD55" s="43">
        <v>0</v>
      </c>
      <c r="DE55" s="43">
        <v>0</v>
      </c>
      <c r="DF55" s="43">
        <v>1.01180438449E-3</v>
      </c>
      <c r="DG55" s="43">
        <v>7.9089376054000002E-2</v>
      </c>
      <c r="DH55" s="43">
        <v>3.1028667790900001E-2</v>
      </c>
      <c r="DI55" s="43">
        <v>0</v>
      </c>
      <c r="DJ55" s="43">
        <v>6.9139966273200001E-3</v>
      </c>
      <c r="DK55" s="43">
        <v>0</v>
      </c>
      <c r="DL55" s="43">
        <v>0</v>
      </c>
      <c r="DM55" s="43">
        <v>0</v>
      </c>
      <c r="DN55" s="43">
        <v>0</v>
      </c>
      <c r="DO55" s="43">
        <v>0</v>
      </c>
      <c r="DP55" s="43">
        <v>0</v>
      </c>
      <c r="DQ55" s="43">
        <v>2.4114671163599999E-2</v>
      </c>
      <c r="DR55" s="43">
        <v>0</v>
      </c>
      <c r="DS55" s="43">
        <v>6.5767284991600002E-3</v>
      </c>
      <c r="DT55" s="43">
        <v>0</v>
      </c>
      <c r="DU55" s="43">
        <v>2.0236087689700002E-3</v>
      </c>
      <c r="DV55" s="43">
        <v>0</v>
      </c>
      <c r="DW55" s="43">
        <v>0</v>
      </c>
      <c r="DX55" s="43">
        <v>0</v>
      </c>
      <c r="DY55" s="43">
        <v>0</v>
      </c>
      <c r="DZ55" s="43">
        <v>2.5295109612100001E-3</v>
      </c>
      <c r="EA55" s="43">
        <v>0</v>
      </c>
      <c r="EB55" s="43">
        <v>0</v>
      </c>
      <c r="EC55" s="43">
        <v>1.18043844857E-3</v>
      </c>
      <c r="ED55" s="43">
        <v>5.4637436762200002E-2</v>
      </c>
      <c r="EE55" s="43">
        <v>0</v>
      </c>
      <c r="EF55" s="43">
        <v>8.4317032040500002E-4</v>
      </c>
      <c r="EG55" s="43">
        <v>5.9021922428299997E-3</v>
      </c>
      <c r="EH55" s="43">
        <v>0</v>
      </c>
      <c r="EI55" s="43">
        <v>0</v>
      </c>
      <c r="EJ55" s="43">
        <v>0</v>
      </c>
      <c r="EK55" s="43">
        <v>0</v>
      </c>
      <c r="EL55" s="43">
        <v>0</v>
      </c>
      <c r="EM55" s="43">
        <v>0</v>
      </c>
      <c r="EN55" s="43">
        <v>0</v>
      </c>
      <c r="EO55" s="43">
        <v>0</v>
      </c>
      <c r="EP55" s="43">
        <v>5.9021922428299997E-3</v>
      </c>
      <c r="EQ55" s="43">
        <v>0</v>
      </c>
      <c r="ER55" s="43">
        <v>0</v>
      </c>
      <c r="ES55" s="43">
        <v>0</v>
      </c>
      <c r="ET55" s="43">
        <v>0</v>
      </c>
      <c r="EU55" s="43">
        <v>0</v>
      </c>
      <c r="EV55" s="43">
        <v>0</v>
      </c>
      <c r="EW55" s="43">
        <v>0</v>
      </c>
      <c r="EX55" s="43">
        <v>0</v>
      </c>
      <c r="EY55" s="43">
        <v>2.9005059021899999E-2</v>
      </c>
      <c r="EZ55" s="43">
        <v>0</v>
      </c>
      <c r="FA55" s="43">
        <v>0</v>
      </c>
      <c r="FB55" s="43">
        <v>0</v>
      </c>
      <c r="FC55" s="43">
        <v>0</v>
      </c>
      <c r="FD55" s="43">
        <v>0</v>
      </c>
      <c r="FE55" s="43">
        <v>0</v>
      </c>
      <c r="FF55" s="43">
        <v>0</v>
      </c>
      <c r="FG55" s="43">
        <v>0</v>
      </c>
      <c r="FH55" s="43">
        <v>0</v>
      </c>
      <c r="FI55" s="43">
        <v>0</v>
      </c>
      <c r="FJ55" s="43">
        <v>0</v>
      </c>
      <c r="FK55" s="43">
        <v>0</v>
      </c>
      <c r="FL55" s="43">
        <v>0</v>
      </c>
      <c r="FM55" s="43">
        <v>0</v>
      </c>
      <c r="FN55" s="43">
        <v>0</v>
      </c>
      <c r="FO55" s="43">
        <v>1.3490725126499999E-3</v>
      </c>
      <c r="FP55" s="43">
        <v>0</v>
      </c>
      <c r="FQ55" s="43">
        <v>0</v>
      </c>
      <c r="FR55" s="43">
        <v>0</v>
      </c>
      <c r="FS55" s="43">
        <v>1.68634064081E-4</v>
      </c>
      <c r="FT55" s="43">
        <v>0</v>
      </c>
      <c r="FU55" s="43">
        <v>0</v>
      </c>
      <c r="FV55" s="43">
        <v>0</v>
      </c>
      <c r="FW55" s="43">
        <v>0</v>
      </c>
      <c r="FX55" s="43">
        <v>0</v>
      </c>
      <c r="FY55" s="43">
        <v>7.2512647554800001E-3</v>
      </c>
      <c r="FZ55" s="43">
        <v>0</v>
      </c>
      <c r="GA55" s="43">
        <v>0</v>
      </c>
      <c r="GB55" s="43">
        <v>0</v>
      </c>
      <c r="GC55" s="43">
        <v>4.3170320404700001E-2</v>
      </c>
      <c r="GD55" s="43">
        <v>0</v>
      </c>
    </row>
    <row r="56" spans="1:186" ht="16.5" x14ac:dyDescent="0.3">
      <c r="A56" s="21" t="s">
        <v>334</v>
      </c>
      <c r="B56" s="57" t="s">
        <v>287</v>
      </c>
      <c r="C56" s="23">
        <v>11.25</v>
      </c>
      <c r="D56" s="23" t="s">
        <v>183</v>
      </c>
      <c r="E56" s="24" t="s">
        <v>243</v>
      </c>
      <c r="F56" s="25" t="s">
        <v>335</v>
      </c>
      <c r="G56" s="26" t="s">
        <v>289</v>
      </c>
      <c r="H56" s="51" t="s">
        <v>243</v>
      </c>
      <c r="I56" s="52">
        <v>11</v>
      </c>
      <c r="J56" s="52">
        <v>162</v>
      </c>
      <c r="K56" s="52">
        <v>66</v>
      </c>
      <c r="L56" s="53">
        <f t="shared" si="19"/>
        <v>25.14860539551897</v>
      </c>
      <c r="M56" s="54">
        <v>96</v>
      </c>
      <c r="N56" s="30" t="s">
        <v>186</v>
      </c>
      <c r="O56" s="30" t="s">
        <v>186</v>
      </c>
      <c r="P56" s="30" t="s">
        <v>186</v>
      </c>
      <c r="Q56" s="30" t="s">
        <v>186</v>
      </c>
      <c r="R56" s="30" t="s">
        <v>186</v>
      </c>
      <c r="S56" s="31" t="s">
        <v>186</v>
      </c>
      <c r="T56" s="30" t="s">
        <v>186</v>
      </c>
      <c r="U56" s="30" t="s">
        <v>186</v>
      </c>
      <c r="V56" s="30" t="s">
        <v>186</v>
      </c>
      <c r="W56" s="30" t="s">
        <v>186</v>
      </c>
      <c r="X56" s="25">
        <v>4785.5417310439652</v>
      </c>
      <c r="Y56" s="25">
        <v>1193.8474760035365</v>
      </c>
      <c r="Z56" s="25">
        <v>204.02069764173493</v>
      </c>
      <c r="AA56" s="25">
        <v>1844.9915251488351</v>
      </c>
      <c r="AB56" s="25">
        <v>298.56444891610414</v>
      </c>
      <c r="AC56" s="25">
        <v>49.080942989615025</v>
      </c>
      <c r="AD56" s="32">
        <v>104.9</v>
      </c>
      <c r="AE56" s="32">
        <v>56.204999999999998</v>
      </c>
      <c r="AF56" s="23" t="s">
        <v>183</v>
      </c>
      <c r="AG56" s="33">
        <v>63.1</v>
      </c>
      <c r="AH56" s="33">
        <v>14.7</v>
      </c>
      <c r="AI56" s="34">
        <f t="shared" si="20"/>
        <v>89.072900158478603</v>
      </c>
      <c r="AJ56" s="34">
        <f t="shared" si="21"/>
        <v>382.34693877551018</v>
      </c>
      <c r="AK56" s="35">
        <v>63.1</v>
      </c>
      <c r="AL56" s="58">
        <f t="shared" si="22"/>
        <v>89.072900158478603</v>
      </c>
      <c r="AM56" s="37">
        <v>14.7</v>
      </c>
      <c r="AN56" s="59">
        <f t="shared" si="23"/>
        <v>382.34693877551018</v>
      </c>
      <c r="AO56" s="39">
        <v>6167037.98873768</v>
      </c>
      <c r="AP56" s="39">
        <v>13411439.187311901</v>
      </c>
      <c r="AQ56" s="39">
        <v>3329259.7728899098</v>
      </c>
      <c r="AR56" s="39">
        <v>34638972.575459898</v>
      </c>
      <c r="AT56" s="47">
        <v>6.7959527824600005E-2</v>
      </c>
      <c r="AU56" s="47">
        <v>0.60118043844900004</v>
      </c>
      <c r="AV56" s="47">
        <v>1.3490725126499999E-3</v>
      </c>
      <c r="AW56" s="47">
        <v>1.39966273187E-2</v>
      </c>
      <c r="AX56" s="47">
        <v>0</v>
      </c>
      <c r="AY56" s="47">
        <v>0.31534569983100003</v>
      </c>
      <c r="AZ56" s="47">
        <v>0</v>
      </c>
      <c r="BA56" s="47">
        <v>0</v>
      </c>
      <c r="BB56" s="47">
        <v>1.68634064081E-4</v>
      </c>
      <c r="BC56" s="47">
        <v>0</v>
      </c>
      <c r="BD56" s="47">
        <v>0</v>
      </c>
      <c r="BE56" s="47">
        <v>0</v>
      </c>
      <c r="BF56" s="47">
        <v>0</v>
      </c>
      <c r="BG56" s="48"/>
      <c r="BH56" s="43">
        <v>1.68634064081E-4</v>
      </c>
      <c r="BI56" s="43">
        <v>0</v>
      </c>
      <c r="BJ56" s="43">
        <v>0</v>
      </c>
      <c r="BK56" s="43">
        <v>0</v>
      </c>
      <c r="BL56" s="43">
        <v>0</v>
      </c>
      <c r="BM56" s="43">
        <v>0</v>
      </c>
      <c r="BN56" s="43">
        <v>0</v>
      </c>
      <c r="BO56" s="43">
        <v>0</v>
      </c>
      <c r="BP56" s="43">
        <v>0</v>
      </c>
      <c r="BQ56" s="43">
        <v>0</v>
      </c>
      <c r="BR56" s="43">
        <v>0</v>
      </c>
      <c r="BS56" s="43">
        <v>0</v>
      </c>
      <c r="BT56" s="43">
        <v>0.24519392917400001</v>
      </c>
      <c r="BU56" s="43">
        <v>1.3490725126499999E-3</v>
      </c>
      <c r="BV56" s="43">
        <v>5.9021922428299997E-3</v>
      </c>
      <c r="BW56" s="43">
        <v>4.72175379427E-3</v>
      </c>
      <c r="BX56" s="43">
        <v>5.8178752107900002E-2</v>
      </c>
      <c r="BY56" s="43">
        <v>0</v>
      </c>
      <c r="BZ56" s="43">
        <v>0</v>
      </c>
      <c r="CA56" s="43">
        <v>0</v>
      </c>
      <c r="CB56" s="43">
        <v>1.39966273187E-2</v>
      </c>
      <c r="CC56" s="43">
        <v>0</v>
      </c>
      <c r="CD56" s="43">
        <v>0</v>
      </c>
      <c r="CE56" s="43">
        <v>0</v>
      </c>
      <c r="CF56" s="43">
        <v>0</v>
      </c>
      <c r="CG56" s="43">
        <v>0</v>
      </c>
      <c r="CH56" s="43">
        <v>0</v>
      </c>
      <c r="CI56" s="43">
        <v>0</v>
      </c>
      <c r="CJ56" s="43">
        <v>0</v>
      </c>
      <c r="CK56" s="43">
        <v>0</v>
      </c>
      <c r="CL56" s="43">
        <v>0</v>
      </c>
      <c r="CM56" s="43">
        <v>0</v>
      </c>
      <c r="CN56" s="43">
        <v>0</v>
      </c>
      <c r="CO56" s="43">
        <v>0</v>
      </c>
      <c r="CP56" s="43">
        <v>0</v>
      </c>
      <c r="CQ56" s="43">
        <v>0</v>
      </c>
      <c r="CR56" s="43">
        <v>0</v>
      </c>
      <c r="CS56" s="43">
        <v>0</v>
      </c>
      <c r="CT56" s="43">
        <v>1.83811129848E-2</v>
      </c>
      <c r="CU56" s="43">
        <v>0</v>
      </c>
      <c r="CV56" s="43">
        <v>0</v>
      </c>
      <c r="CW56" s="43">
        <v>0</v>
      </c>
      <c r="CX56" s="43">
        <v>0</v>
      </c>
      <c r="CY56" s="43">
        <v>0</v>
      </c>
      <c r="CZ56" s="43">
        <v>0</v>
      </c>
      <c r="DA56" s="43">
        <v>0</v>
      </c>
      <c r="DB56" s="43">
        <v>0</v>
      </c>
      <c r="DC56" s="43">
        <v>0</v>
      </c>
      <c r="DD56" s="43">
        <v>8.4317032040500002E-4</v>
      </c>
      <c r="DE56" s="43">
        <v>0</v>
      </c>
      <c r="DF56" s="43">
        <v>0</v>
      </c>
      <c r="DG56" s="43">
        <v>7.1669477234399995E-2</v>
      </c>
      <c r="DH56" s="43">
        <v>1.3490725126499999E-3</v>
      </c>
      <c r="DI56" s="43">
        <v>0</v>
      </c>
      <c r="DJ56" s="43">
        <v>1.3827993254599999E-2</v>
      </c>
      <c r="DK56" s="43">
        <v>3.5413153457000001E-3</v>
      </c>
      <c r="DL56" s="43">
        <v>0</v>
      </c>
      <c r="DM56" s="43">
        <v>0</v>
      </c>
      <c r="DN56" s="43">
        <v>8.4317032040500002E-4</v>
      </c>
      <c r="DO56" s="43">
        <v>0</v>
      </c>
      <c r="DP56" s="43">
        <v>0</v>
      </c>
      <c r="DQ56" s="43">
        <v>0.10741989882</v>
      </c>
      <c r="DR56" s="43">
        <v>3.70994940978E-3</v>
      </c>
      <c r="DS56" s="43">
        <v>0.110961214165</v>
      </c>
      <c r="DT56" s="43">
        <v>1.3827993254599999E-2</v>
      </c>
      <c r="DU56" s="43">
        <v>1.60202360877E-2</v>
      </c>
      <c r="DV56" s="43">
        <v>0</v>
      </c>
      <c r="DW56" s="43">
        <v>0</v>
      </c>
      <c r="DX56" s="43">
        <v>0</v>
      </c>
      <c r="DY56" s="43">
        <v>0</v>
      </c>
      <c r="DZ56" s="43">
        <v>1.68634064081E-4</v>
      </c>
      <c r="EA56" s="43">
        <v>0</v>
      </c>
      <c r="EB56" s="43">
        <v>9.4772344013500001E-2</v>
      </c>
      <c r="EC56" s="43">
        <v>0</v>
      </c>
      <c r="ED56" s="43">
        <v>4.6037099494100002E-2</v>
      </c>
      <c r="EE56" s="43">
        <v>2.7318718381100001E-2</v>
      </c>
      <c r="EF56" s="43">
        <v>8.2630691399700005E-3</v>
      </c>
      <c r="EG56" s="43">
        <v>1.6357504215900001E-2</v>
      </c>
      <c r="EH56" s="43">
        <v>0</v>
      </c>
      <c r="EI56" s="43">
        <v>2.2596964586800002E-2</v>
      </c>
      <c r="EJ56" s="43">
        <v>0</v>
      </c>
      <c r="EK56" s="43">
        <v>0</v>
      </c>
      <c r="EL56" s="43">
        <v>0</v>
      </c>
      <c r="EM56" s="43">
        <v>0</v>
      </c>
      <c r="EN56" s="43">
        <v>0</v>
      </c>
      <c r="EO56" s="43">
        <v>0</v>
      </c>
      <c r="EP56" s="43">
        <v>2.8667790893799998E-3</v>
      </c>
      <c r="EQ56" s="43">
        <v>0</v>
      </c>
      <c r="ER56" s="43">
        <v>0</v>
      </c>
      <c r="ES56" s="43">
        <v>0</v>
      </c>
      <c r="ET56" s="43">
        <v>0</v>
      </c>
      <c r="EU56" s="43">
        <v>0</v>
      </c>
      <c r="EV56" s="43">
        <v>0</v>
      </c>
      <c r="EW56" s="43">
        <v>0</v>
      </c>
      <c r="EX56" s="43">
        <v>0</v>
      </c>
      <c r="EY56" s="43">
        <v>2.0404721753799999E-2</v>
      </c>
      <c r="EZ56" s="43">
        <v>0</v>
      </c>
      <c r="FA56" s="43">
        <v>0</v>
      </c>
      <c r="FB56" s="43">
        <v>0</v>
      </c>
      <c r="FC56" s="43">
        <v>0</v>
      </c>
      <c r="FD56" s="43">
        <v>0</v>
      </c>
      <c r="FE56" s="43">
        <v>0</v>
      </c>
      <c r="FF56" s="43">
        <v>0</v>
      </c>
      <c r="FG56" s="43">
        <v>0</v>
      </c>
      <c r="FH56" s="43">
        <v>0</v>
      </c>
      <c r="FI56" s="43">
        <v>0</v>
      </c>
      <c r="FJ56" s="43">
        <v>0</v>
      </c>
      <c r="FK56" s="43">
        <v>0</v>
      </c>
      <c r="FL56" s="43">
        <v>0</v>
      </c>
      <c r="FM56" s="43">
        <v>0</v>
      </c>
      <c r="FN56" s="43">
        <v>0</v>
      </c>
      <c r="FO56" s="43">
        <v>0</v>
      </c>
      <c r="FP56" s="43">
        <v>0</v>
      </c>
      <c r="FQ56" s="43">
        <v>0</v>
      </c>
      <c r="FR56" s="43">
        <v>0</v>
      </c>
      <c r="FS56" s="43">
        <v>0</v>
      </c>
      <c r="FT56" s="43">
        <v>0</v>
      </c>
      <c r="FU56" s="43">
        <v>1.3490725126499999E-3</v>
      </c>
      <c r="FV56" s="43">
        <v>0</v>
      </c>
      <c r="FW56" s="43">
        <v>0</v>
      </c>
      <c r="FX56" s="43">
        <v>0</v>
      </c>
      <c r="FY56" s="43">
        <v>0</v>
      </c>
      <c r="FZ56" s="43">
        <v>0</v>
      </c>
      <c r="GA56" s="43">
        <v>0</v>
      </c>
      <c r="GB56" s="43">
        <v>0</v>
      </c>
      <c r="GC56" s="43">
        <v>6.7959527824600005E-2</v>
      </c>
      <c r="GD56" s="43">
        <v>0</v>
      </c>
    </row>
    <row r="57" spans="1:186" ht="16.5" x14ac:dyDescent="0.3">
      <c r="A57" s="21" t="s">
        <v>336</v>
      </c>
      <c r="B57" s="57" t="s">
        <v>287</v>
      </c>
      <c r="C57" s="23">
        <v>8.17</v>
      </c>
      <c r="D57" s="23" t="s">
        <v>183</v>
      </c>
      <c r="E57" s="24" t="s">
        <v>243</v>
      </c>
      <c r="F57" s="25" t="s">
        <v>337</v>
      </c>
      <c r="G57" s="26" t="s">
        <v>289</v>
      </c>
      <c r="H57" s="51" t="s">
        <v>243</v>
      </c>
      <c r="I57" s="52">
        <v>8</v>
      </c>
      <c r="J57" s="52">
        <v>128</v>
      </c>
      <c r="K57" s="52">
        <v>34</v>
      </c>
      <c r="L57" s="53">
        <f t="shared" si="19"/>
        <v>20.751953125</v>
      </c>
      <c r="M57" s="54">
        <v>95</v>
      </c>
      <c r="N57" s="30" t="s">
        <v>186</v>
      </c>
      <c r="O57" s="30" t="s">
        <v>186</v>
      </c>
      <c r="P57" s="30" t="s">
        <v>186</v>
      </c>
      <c r="Q57" s="30" t="s">
        <v>186</v>
      </c>
      <c r="R57" s="30" t="s">
        <v>186</v>
      </c>
      <c r="S57" s="31" t="s">
        <v>186</v>
      </c>
      <c r="T57" s="30" t="s">
        <v>186</v>
      </c>
      <c r="U57" s="30" t="s">
        <v>186</v>
      </c>
      <c r="V57" s="30" t="s">
        <v>186</v>
      </c>
      <c r="W57" s="30" t="s">
        <v>186</v>
      </c>
      <c r="X57" s="25">
        <v>2887.3060782685084</v>
      </c>
      <c r="Y57" s="25">
        <v>824.14696608651559</v>
      </c>
      <c r="Z57" s="25">
        <v>490.72941747650407</v>
      </c>
      <c r="AA57" s="25">
        <v>2654.5190122093354</v>
      </c>
      <c r="AB57" s="25">
        <v>727.13045837890786</v>
      </c>
      <c r="AC57" s="25">
        <v>500.03732281656596</v>
      </c>
      <c r="AD57" s="32">
        <v>75.3</v>
      </c>
      <c r="AE57" s="32">
        <v>17.682500000000001</v>
      </c>
      <c r="AF57" s="23" t="s">
        <v>183</v>
      </c>
      <c r="AG57" s="33">
        <v>115.6</v>
      </c>
      <c r="AH57" s="33">
        <v>17.3</v>
      </c>
      <c r="AI57" s="34">
        <f t="shared" si="20"/>
        <v>15.29628027681661</v>
      </c>
      <c r="AJ57" s="34">
        <f t="shared" si="21"/>
        <v>102.21098265895954</v>
      </c>
      <c r="AK57" s="35">
        <v>115.6</v>
      </c>
      <c r="AL57" s="58">
        <f t="shared" si="22"/>
        <v>15.29628027681661</v>
      </c>
      <c r="AM57" s="37">
        <v>17.3</v>
      </c>
      <c r="AN57" s="59">
        <f t="shared" si="23"/>
        <v>102.21098265895954</v>
      </c>
      <c r="AO57" s="39">
        <v>1257534.9871940601</v>
      </c>
      <c r="AP57" s="39">
        <v>684059171.15005195</v>
      </c>
      <c r="AQ57" s="39">
        <v>3693210.0546448799</v>
      </c>
      <c r="AR57" s="39">
        <v>6285274.5207161596</v>
      </c>
      <c r="AT57" s="47">
        <v>6.4249578414800002E-2</v>
      </c>
      <c r="AU57" s="47">
        <v>0.64890387858300003</v>
      </c>
      <c r="AV57" s="47">
        <v>0</v>
      </c>
      <c r="AW57" s="47">
        <v>1.5177065767300001E-3</v>
      </c>
      <c r="AX57" s="47">
        <v>0</v>
      </c>
      <c r="AY57" s="47">
        <v>0.28499156829700001</v>
      </c>
      <c r="AZ57" s="47">
        <v>0</v>
      </c>
      <c r="BA57" s="47">
        <v>0</v>
      </c>
      <c r="BB57" s="47">
        <v>3.37268128162E-4</v>
      </c>
      <c r="BC57" s="47">
        <v>0</v>
      </c>
      <c r="BD57" s="47">
        <v>0</v>
      </c>
      <c r="BE57" s="47">
        <v>0</v>
      </c>
      <c r="BF57" s="47">
        <v>0</v>
      </c>
      <c r="BG57" s="48"/>
      <c r="BH57" s="43">
        <v>3.37268128162E-4</v>
      </c>
      <c r="BI57" s="43">
        <v>0</v>
      </c>
      <c r="BJ57" s="43">
        <v>0</v>
      </c>
      <c r="BK57" s="43">
        <v>0</v>
      </c>
      <c r="BL57" s="43">
        <v>0</v>
      </c>
      <c r="BM57" s="43">
        <v>0</v>
      </c>
      <c r="BN57" s="43">
        <v>0</v>
      </c>
      <c r="BO57" s="43">
        <v>0</v>
      </c>
      <c r="BP57" s="43">
        <v>0</v>
      </c>
      <c r="BQ57" s="43">
        <v>0</v>
      </c>
      <c r="BR57" s="43">
        <v>0</v>
      </c>
      <c r="BS57" s="43">
        <v>0</v>
      </c>
      <c r="BT57" s="43">
        <v>0.20994940978099999</v>
      </c>
      <c r="BU57" s="43">
        <v>0</v>
      </c>
      <c r="BV57" s="43">
        <v>0</v>
      </c>
      <c r="BW57" s="43">
        <v>0</v>
      </c>
      <c r="BX57" s="43">
        <v>7.5042158516000004E-2</v>
      </c>
      <c r="BY57" s="43">
        <v>0</v>
      </c>
      <c r="BZ57" s="43">
        <v>0</v>
      </c>
      <c r="CA57" s="43">
        <v>0</v>
      </c>
      <c r="CB57" s="43">
        <v>0</v>
      </c>
      <c r="CC57" s="43">
        <v>1.5177065767300001E-3</v>
      </c>
      <c r="CD57" s="43">
        <v>0</v>
      </c>
      <c r="CE57" s="43">
        <v>0</v>
      </c>
      <c r="CF57" s="43">
        <v>0</v>
      </c>
      <c r="CG57" s="43">
        <v>0</v>
      </c>
      <c r="CH57" s="43">
        <v>0</v>
      </c>
      <c r="CI57" s="43">
        <v>0</v>
      </c>
      <c r="CJ57" s="43">
        <v>0</v>
      </c>
      <c r="CK57" s="43">
        <v>0</v>
      </c>
      <c r="CL57" s="43">
        <v>0</v>
      </c>
      <c r="CM57" s="43">
        <v>0</v>
      </c>
      <c r="CN57" s="43">
        <v>0</v>
      </c>
      <c r="CO57" s="43">
        <v>0</v>
      </c>
      <c r="CP57" s="43">
        <v>0</v>
      </c>
      <c r="CQ57" s="43">
        <v>0</v>
      </c>
      <c r="CR57" s="43">
        <v>0</v>
      </c>
      <c r="CS57" s="43">
        <v>0</v>
      </c>
      <c r="CT57" s="43">
        <v>0</v>
      </c>
      <c r="CU57" s="43">
        <v>0</v>
      </c>
      <c r="CV57" s="43">
        <v>0</v>
      </c>
      <c r="CW57" s="43">
        <v>0</v>
      </c>
      <c r="CX57" s="43">
        <v>0</v>
      </c>
      <c r="CY57" s="43">
        <v>0</v>
      </c>
      <c r="CZ57" s="43">
        <v>0</v>
      </c>
      <c r="DA57" s="43">
        <v>0</v>
      </c>
      <c r="DB57" s="43">
        <v>0</v>
      </c>
      <c r="DC57" s="43">
        <v>0</v>
      </c>
      <c r="DD57" s="43">
        <v>4.0472175379400004E-3</v>
      </c>
      <c r="DE57" s="43">
        <v>0</v>
      </c>
      <c r="DF57" s="43">
        <v>0</v>
      </c>
      <c r="DG57" s="43">
        <v>3.37268128162E-4</v>
      </c>
      <c r="DH57" s="43">
        <v>0</v>
      </c>
      <c r="DI57" s="43">
        <v>0</v>
      </c>
      <c r="DJ57" s="43">
        <v>1.28161888702E-2</v>
      </c>
      <c r="DK57" s="43">
        <v>0</v>
      </c>
      <c r="DL57" s="43">
        <v>0</v>
      </c>
      <c r="DM57" s="43">
        <v>0</v>
      </c>
      <c r="DN57" s="43">
        <v>0</v>
      </c>
      <c r="DO57" s="43">
        <v>0</v>
      </c>
      <c r="DP57" s="43">
        <v>0</v>
      </c>
      <c r="DQ57" s="43">
        <v>9.4940978077600005E-2</v>
      </c>
      <c r="DR57" s="43">
        <v>0</v>
      </c>
      <c r="DS57" s="43">
        <v>0.110118043845</v>
      </c>
      <c r="DT57" s="43">
        <v>0</v>
      </c>
      <c r="DU57" s="43">
        <v>0</v>
      </c>
      <c r="DV57" s="43">
        <v>0</v>
      </c>
      <c r="DW57" s="43">
        <v>0</v>
      </c>
      <c r="DX57" s="43">
        <v>0</v>
      </c>
      <c r="DY57" s="43">
        <v>1.18043844857E-3</v>
      </c>
      <c r="DZ57" s="43">
        <v>1.29848229342E-2</v>
      </c>
      <c r="EA57" s="43">
        <v>0</v>
      </c>
      <c r="EB57" s="43">
        <v>0.134569983137</v>
      </c>
      <c r="EC57" s="43">
        <v>0</v>
      </c>
      <c r="ED57" s="43">
        <v>1.1973018549699999E-2</v>
      </c>
      <c r="EE57" s="43">
        <v>0.119392917369</v>
      </c>
      <c r="EF57" s="43">
        <v>1.01180438449E-3</v>
      </c>
      <c r="EG57" s="43">
        <v>7.47048903879E-2</v>
      </c>
      <c r="EH57" s="43">
        <v>0</v>
      </c>
      <c r="EI57" s="43">
        <v>6.74536256324E-4</v>
      </c>
      <c r="EJ57" s="43">
        <v>0</v>
      </c>
      <c r="EK57" s="43">
        <v>0</v>
      </c>
      <c r="EL57" s="43">
        <v>0</v>
      </c>
      <c r="EM57" s="43">
        <v>0</v>
      </c>
      <c r="EN57" s="43">
        <v>0</v>
      </c>
      <c r="EO57" s="43">
        <v>0</v>
      </c>
      <c r="EP57" s="43">
        <v>0</v>
      </c>
      <c r="EQ57" s="43">
        <v>0</v>
      </c>
      <c r="ER57" s="43">
        <v>3.37268128162E-4</v>
      </c>
      <c r="ES57" s="43">
        <v>0</v>
      </c>
      <c r="ET57" s="43">
        <v>0</v>
      </c>
      <c r="EU57" s="43">
        <v>0</v>
      </c>
      <c r="EV57" s="43">
        <v>3.37268128162E-4</v>
      </c>
      <c r="EW57" s="43">
        <v>0</v>
      </c>
      <c r="EX57" s="43">
        <v>0</v>
      </c>
      <c r="EY57" s="43">
        <v>6.9477234401300006E-2</v>
      </c>
      <c r="EZ57" s="43">
        <v>0</v>
      </c>
      <c r="FA57" s="43">
        <v>0</v>
      </c>
      <c r="FB57" s="43">
        <v>0</v>
      </c>
      <c r="FC57" s="43">
        <v>0</v>
      </c>
      <c r="FD57" s="43">
        <v>0</v>
      </c>
      <c r="FE57" s="43">
        <v>0</v>
      </c>
      <c r="FF57" s="43">
        <v>0</v>
      </c>
      <c r="FG57" s="43">
        <v>0</v>
      </c>
      <c r="FH57" s="43">
        <v>0</v>
      </c>
      <c r="FI57" s="43">
        <v>0</v>
      </c>
      <c r="FJ57" s="43">
        <v>0</v>
      </c>
      <c r="FK57" s="43">
        <v>0</v>
      </c>
      <c r="FL57" s="43">
        <v>0</v>
      </c>
      <c r="FM57" s="43">
        <v>0</v>
      </c>
      <c r="FN57" s="43">
        <v>0</v>
      </c>
      <c r="FO57" s="43">
        <v>0</v>
      </c>
      <c r="FP57" s="43">
        <v>0</v>
      </c>
      <c r="FQ57" s="43">
        <v>0</v>
      </c>
      <c r="FR57" s="43">
        <v>0</v>
      </c>
      <c r="FS57" s="43">
        <v>0</v>
      </c>
      <c r="FT57" s="43">
        <v>0</v>
      </c>
      <c r="FU57" s="43">
        <v>0</v>
      </c>
      <c r="FV57" s="43">
        <v>0</v>
      </c>
      <c r="FW57" s="43">
        <v>0</v>
      </c>
      <c r="FX57" s="43">
        <v>0</v>
      </c>
      <c r="FY57" s="43">
        <v>0</v>
      </c>
      <c r="FZ57" s="43">
        <v>0</v>
      </c>
      <c r="GA57" s="43">
        <v>0</v>
      </c>
      <c r="GB57" s="43">
        <v>0</v>
      </c>
      <c r="GC57" s="43">
        <v>6.4249578414800002E-2</v>
      </c>
      <c r="GD57" s="43">
        <v>0</v>
      </c>
    </row>
    <row r="58" spans="1:186" ht="16.5" x14ac:dyDescent="0.3">
      <c r="A58" s="21" t="s">
        <v>338</v>
      </c>
      <c r="B58" s="57" t="s">
        <v>287</v>
      </c>
      <c r="C58" s="23">
        <v>8.83</v>
      </c>
      <c r="D58" s="23" t="s">
        <v>183</v>
      </c>
      <c r="E58" s="24" t="s">
        <v>184</v>
      </c>
      <c r="F58" s="25" t="s">
        <v>339</v>
      </c>
      <c r="G58" s="26" t="s">
        <v>289</v>
      </c>
      <c r="H58" s="26" t="s">
        <v>184</v>
      </c>
      <c r="I58" s="27">
        <v>9</v>
      </c>
      <c r="J58" s="27">
        <v>122</v>
      </c>
      <c r="K58" s="27">
        <v>18</v>
      </c>
      <c r="L58" s="28">
        <f t="shared" si="19"/>
        <v>12.09352324643913</v>
      </c>
      <c r="M58" s="29">
        <v>1</v>
      </c>
      <c r="N58" s="30" t="s">
        <v>186</v>
      </c>
      <c r="O58" s="30" t="s">
        <v>186</v>
      </c>
      <c r="P58" s="30" t="s">
        <v>186</v>
      </c>
      <c r="Q58" s="30" t="s">
        <v>186</v>
      </c>
      <c r="R58" s="30" t="s">
        <v>186</v>
      </c>
      <c r="S58" s="31" t="s">
        <v>186</v>
      </c>
      <c r="T58" s="30" t="s">
        <v>186</v>
      </c>
      <c r="U58" s="30" t="s">
        <v>186</v>
      </c>
      <c r="V58" s="30" t="s">
        <v>186</v>
      </c>
      <c r="W58" s="30" t="s">
        <v>186</v>
      </c>
      <c r="X58" s="25">
        <v>10939.418957841837</v>
      </c>
      <c r="Y58" s="25">
        <v>2278.0969363710046</v>
      </c>
      <c r="Z58" s="25">
        <v>998.19548216962232</v>
      </c>
      <c r="AA58" s="25">
        <v>4517.4007452452661</v>
      </c>
      <c r="AB58" s="25">
        <v>1710.4419041220551</v>
      </c>
      <c r="AC58" s="25">
        <v>1259.5990464825531</v>
      </c>
      <c r="AD58" s="32">
        <v>272.39999999999998</v>
      </c>
      <c r="AE58" s="32">
        <v>74.027500000000003</v>
      </c>
      <c r="AF58" s="23" t="s">
        <v>183</v>
      </c>
      <c r="AG58" s="33">
        <v>101.36</v>
      </c>
      <c r="AH58" s="33">
        <v>16.399999999999999</v>
      </c>
      <c r="AI58" s="34">
        <f t="shared" si="20"/>
        <v>73.034234411996849</v>
      </c>
      <c r="AJ58" s="34">
        <f t="shared" si="21"/>
        <v>451.38719512195127</v>
      </c>
      <c r="AK58" s="35">
        <v>101.36</v>
      </c>
      <c r="AL58" s="58">
        <f t="shared" si="22"/>
        <v>73.034234411996849</v>
      </c>
      <c r="AM58" s="37">
        <v>16.399999999999999</v>
      </c>
      <c r="AN58" s="59">
        <f t="shared" si="23"/>
        <v>451.38719512195127</v>
      </c>
      <c r="AO58" s="39">
        <v>6915686.6226441497</v>
      </c>
      <c r="AP58" s="39">
        <v>11928921.346532499</v>
      </c>
      <c r="AQ58" s="39">
        <v>13855818.9664819</v>
      </c>
      <c r="AR58" s="39">
        <v>117600730.396698</v>
      </c>
      <c r="AT58" s="47">
        <v>5.1433389544700003E-2</v>
      </c>
      <c r="AU58" s="47">
        <v>0.75564924114700005</v>
      </c>
      <c r="AV58" s="47">
        <v>0</v>
      </c>
      <c r="AW58" s="47">
        <v>8.0944350758899997E-3</v>
      </c>
      <c r="AX58" s="47">
        <v>0</v>
      </c>
      <c r="AY58" s="47">
        <v>0.184654300169</v>
      </c>
      <c r="AZ58" s="47">
        <v>0</v>
      </c>
      <c r="BA58" s="47">
        <v>0</v>
      </c>
      <c r="BB58" s="47">
        <v>1.68634064081E-4</v>
      </c>
      <c r="BC58" s="47">
        <v>0</v>
      </c>
      <c r="BD58" s="47">
        <v>0</v>
      </c>
      <c r="BE58" s="47">
        <v>0</v>
      </c>
      <c r="BF58" s="47">
        <v>0</v>
      </c>
      <c r="BG58" s="48"/>
      <c r="BH58" s="43">
        <v>1.68634064081E-4</v>
      </c>
      <c r="BI58" s="43">
        <v>0</v>
      </c>
      <c r="BJ58" s="43">
        <v>0</v>
      </c>
      <c r="BK58" s="43">
        <v>0</v>
      </c>
      <c r="BL58" s="43">
        <v>0</v>
      </c>
      <c r="BM58" s="43">
        <v>6.2394603709899996E-3</v>
      </c>
      <c r="BN58" s="43">
        <v>0</v>
      </c>
      <c r="BO58" s="43">
        <v>0</v>
      </c>
      <c r="BP58" s="43">
        <v>0</v>
      </c>
      <c r="BQ58" s="43">
        <v>0</v>
      </c>
      <c r="BR58" s="43">
        <v>0</v>
      </c>
      <c r="BS58" s="43">
        <v>0</v>
      </c>
      <c r="BT58" s="43">
        <v>6.7453625632400002E-3</v>
      </c>
      <c r="BU58" s="43">
        <v>0</v>
      </c>
      <c r="BV58" s="43">
        <v>3.1365935919100002E-2</v>
      </c>
      <c r="BW58" s="43">
        <v>0</v>
      </c>
      <c r="BX58" s="43">
        <v>0.140303541315</v>
      </c>
      <c r="BY58" s="43">
        <v>0</v>
      </c>
      <c r="BZ58" s="43">
        <v>0</v>
      </c>
      <c r="CA58" s="43">
        <v>0</v>
      </c>
      <c r="CB58" s="43">
        <v>1.68634064081E-3</v>
      </c>
      <c r="CC58" s="43">
        <v>0</v>
      </c>
      <c r="CD58" s="43">
        <v>0</v>
      </c>
      <c r="CE58" s="43">
        <v>0</v>
      </c>
      <c r="CF58" s="43">
        <v>0</v>
      </c>
      <c r="CG58" s="43">
        <v>1.18043844857E-3</v>
      </c>
      <c r="CH58" s="43">
        <v>3.5413153457000001E-3</v>
      </c>
      <c r="CI58" s="43">
        <v>1.68634064081E-3</v>
      </c>
      <c r="CJ58" s="43">
        <v>0</v>
      </c>
      <c r="CK58" s="43">
        <v>0</v>
      </c>
      <c r="CL58" s="43">
        <v>0</v>
      </c>
      <c r="CM58" s="43">
        <v>0</v>
      </c>
      <c r="CN58" s="43">
        <v>0</v>
      </c>
      <c r="CO58" s="43">
        <v>0</v>
      </c>
      <c r="CP58" s="43">
        <v>0</v>
      </c>
      <c r="CQ58" s="43">
        <v>0</v>
      </c>
      <c r="CR58" s="43">
        <v>0</v>
      </c>
      <c r="CS58" s="43">
        <v>0</v>
      </c>
      <c r="CT58" s="43">
        <v>0</v>
      </c>
      <c r="CU58" s="43">
        <v>0</v>
      </c>
      <c r="CV58" s="43">
        <v>0</v>
      </c>
      <c r="CW58" s="43">
        <v>0</v>
      </c>
      <c r="CX58" s="43">
        <v>0</v>
      </c>
      <c r="CY58" s="43">
        <v>0</v>
      </c>
      <c r="CZ58" s="43">
        <v>0</v>
      </c>
      <c r="DA58" s="43">
        <v>0</v>
      </c>
      <c r="DB58" s="43">
        <v>0</v>
      </c>
      <c r="DC58" s="43">
        <v>6.7453625632400002E-3</v>
      </c>
      <c r="DD58" s="43">
        <v>2.8667790893800001E-2</v>
      </c>
      <c r="DE58" s="43">
        <v>3.37268128162E-4</v>
      </c>
      <c r="DF58" s="43">
        <v>0</v>
      </c>
      <c r="DG58" s="43">
        <v>0.126306913997</v>
      </c>
      <c r="DH58" s="43">
        <v>0</v>
      </c>
      <c r="DI58" s="43">
        <v>0</v>
      </c>
      <c r="DJ58" s="43">
        <v>3.3726812816200001E-3</v>
      </c>
      <c r="DK58" s="43">
        <v>0</v>
      </c>
      <c r="DL58" s="43">
        <v>0</v>
      </c>
      <c r="DM58" s="43">
        <v>0</v>
      </c>
      <c r="DN58" s="43">
        <v>0</v>
      </c>
      <c r="DO58" s="43">
        <v>0</v>
      </c>
      <c r="DP58" s="43">
        <v>6.74536256324E-4</v>
      </c>
      <c r="DQ58" s="43">
        <v>0.23676222596999999</v>
      </c>
      <c r="DR58" s="43">
        <v>3.5413153457000001E-3</v>
      </c>
      <c r="DS58" s="43">
        <v>5.0421585160199997E-2</v>
      </c>
      <c r="DT58" s="43">
        <v>3.70994940978E-3</v>
      </c>
      <c r="DU58" s="43">
        <v>3.42327150084E-2</v>
      </c>
      <c r="DV58" s="43">
        <v>0</v>
      </c>
      <c r="DW58" s="43">
        <v>0</v>
      </c>
      <c r="DX58" s="43">
        <v>0</v>
      </c>
      <c r="DY58" s="43">
        <v>0</v>
      </c>
      <c r="DZ58" s="43">
        <v>8.9038785834699999E-2</v>
      </c>
      <c r="EA58" s="43">
        <v>0</v>
      </c>
      <c r="EB58" s="43">
        <v>9.5109612141699995E-2</v>
      </c>
      <c r="EC58" s="43">
        <v>0</v>
      </c>
      <c r="ED58" s="43">
        <v>5.6661045531200001E-2</v>
      </c>
      <c r="EE58" s="43">
        <v>0</v>
      </c>
      <c r="EF58" s="43">
        <v>0</v>
      </c>
      <c r="EG58" s="43">
        <v>3.37268128162E-4</v>
      </c>
      <c r="EH58" s="43">
        <v>0</v>
      </c>
      <c r="EI58" s="43">
        <v>0</v>
      </c>
      <c r="EJ58" s="43">
        <v>0</v>
      </c>
      <c r="EK58" s="43">
        <v>0</v>
      </c>
      <c r="EL58" s="43">
        <v>0</v>
      </c>
      <c r="EM58" s="43">
        <v>0</v>
      </c>
      <c r="EN58" s="43">
        <v>3.37268128162E-4</v>
      </c>
      <c r="EO58" s="43">
        <v>0</v>
      </c>
      <c r="EP58" s="43">
        <v>1.0455311973E-2</v>
      </c>
      <c r="EQ58" s="43">
        <v>0</v>
      </c>
      <c r="ER58" s="43">
        <v>0</v>
      </c>
      <c r="ES58" s="43">
        <v>0</v>
      </c>
      <c r="ET58" s="43">
        <v>0</v>
      </c>
      <c r="EU58" s="43">
        <v>0</v>
      </c>
      <c r="EV58" s="43">
        <v>0</v>
      </c>
      <c r="EW58" s="43">
        <v>0</v>
      </c>
      <c r="EX58" s="43">
        <v>0</v>
      </c>
      <c r="EY58" s="43">
        <v>7.7571669477199999E-3</v>
      </c>
      <c r="EZ58" s="43">
        <v>0</v>
      </c>
      <c r="FA58" s="43">
        <v>8.4317032040500002E-4</v>
      </c>
      <c r="FB58" s="43">
        <v>0</v>
      </c>
      <c r="FC58" s="43">
        <v>0</v>
      </c>
      <c r="FD58" s="43">
        <v>0</v>
      </c>
      <c r="FE58" s="43">
        <v>3.37268128162E-4</v>
      </c>
      <c r="FF58" s="43">
        <v>0</v>
      </c>
      <c r="FG58" s="43">
        <v>0</v>
      </c>
      <c r="FH58" s="43">
        <v>0</v>
      </c>
      <c r="FI58" s="43">
        <v>0</v>
      </c>
      <c r="FJ58" s="43">
        <v>0</v>
      </c>
      <c r="FK58" s="43">
        <v>0</v>
      </c>
      <c r="FL58" s="43">
        <v>0</v>
      </c>
      <c r="FM58" s="43">
        <v>0</v>
      </c>
      <c r="FN58" s="43">
        <v>0</v>
      </c>
      <c r="FO58" s="43">
        <v>0</v>
      </c>
      <c r="FP58" s="43">
        <v>0</v>
      </c>
      <c r="FQ58" s="43">
        <v>0</v>
      </c>
      <c r="FR58" s="43">
        <v>0</v>
      </c>
      <c r="FS58" s="43">
        <v>0</v>
      </c>
      <c r="FT58" s="43">
        <v>0</v>
      </c>
      <c r="FU58" s="43">
        <v>0</v>
      </c>
      <c r="FV58" s="43">
        <v>0</v>
      </c>
      <c r="FW58" s="43">
        <v>0</v>
      </c>
      <c r="FX58" s="43">
        <v>0</v>
      </c>
      <c r="FY58" s="43">
        <v>0</v>
      </c>
      <c r="FZ58" s="43">
        <v>0</v>
      </c>
      <c r="GA58" s="43">
        <v>0</v>
      </c>
      <c r="GB58" s="43">
        <v>0</v>
      </c>
      <c r="GC58" s="43">
        <v>5.1433389544700003E-2</v>
      </c>
      <c r="GD58" s="43">
        <v>0</v>
      </c>
    </row>
    <row r="59" spans="1:186" ht="16.5" x14ac:dyDescent="0.3">
      <c r="A59" s="21" t="s">
        <v>340</v>
      </c>
      <c r="B59" s="57" t="s">
        <v>287</v>
      </c>
      <c r="C59" s="23">
        <v>9.75</v>
      </c>
      <c r="D59" s="23" t="s">
        <v>183</v>
      </c>
      <c r="E59" s="24" t="s">
        <v>184</v>
      </c>
      <c r="F59" s="25" t="s">
        <v>341</v>
      </c>
      <c r="G59" s="26" t="s">
        <v>289</v>
      </c>
      <c r="H59" s="26" t="s">
        <v>184</v>
      </c>
      <c r="I59" s="27">
        <v>10</v>
      </c>
      <c r="J59" s="27">
        <v>145</v>
      </c>
      <c r="K59" s="27">
        <v>45</v>
      </c>
      <c r="L59" s="28">
        <f t="shared" si="19"/>
        <v>21.403091557669441</v>
      </c>
      <c r="M59" s="29">
        <v>93</v>
      </c>
      <c r="N59" s="30" t="s">
        <v>186</v>
      </c>
      <c r="O59" s="30" t="s">
        <v>186</v>
      </c>
      <c r="P59" s="30" t="s">
        <v>186</v>
      </c>
      <c r="Q59" s="30" t="s">
        <v>186</v>
      </c>
      <c r="R59" s="30" t="s">
        <v>186</v>
      </c>
      <c r="S59" s="31" t="s">
        <v>186</v>
      </c>
      <c r="T59" s="30" t="s">
        <v>186</v>
      </c>
      <c r="U59" s="30" t="s">
        <v>186</v>
      </c>
      <c r="V59" s="30" t="s">
        <v>342</v>
      </c>
      <c r="W59" s="30" t="s">
        <v>186</v>
      </c>
      <c r="X59" s="25">
        <v>77.536814120176217</v>
      </c>
      <c r="Y59" s="25">
        <v>7003.1238168010022</v>
      </c>
      <c r="Z59" s="25">
        <v>725.03459355777159</v>
      </c>
      <c r="AA59" s="25">
        <v>5062.00535874865</v>
      </c>
      <c r="AB59" s="25">
        <v>1005.9419284695066</v>
      </c>
      <c r="AC59" s="25">
        <v>844.55366232223912</v>
      </c>
      <c r="AD59" s="32">
        <v>59.25</v>
      </c>
      <c r="AE59" s="32">
        <v>71.537499999999994</v>
      </c>
      <c r="AF59" s="23" t="s">
        <v>183</v>
      </c>
      <c r="AG59" s="33">
        <v>84.5</v>
      </c>
      <c r="AH59" s="33">
        <v>15.5</v>
      </c>
      <c r="AI59" s="34">
        <f t="shared" si="20"/>
        <v>84.65976331360946</v>
      </c>
      <c r="AJ59" s="34">
        <f t="shared" si="21"/>
        <v>461.5322580645161</v>
      </c>
      <c r="AK59" s="35">
        <v>84.5</v>
      </c>
      <c r="AL59" s="58">
        <f t="shared" si="22"/>
        <v>84.65976331360946</v>
      </c>
      <c r="AM59" s="37">
        <v>15.5</v>
      </c>
      <c r="AN59" s="59">
        <f t="shared" si="23"/>
        <v>461.5322580645161</v>
      </c>
      <c r="AO59" s="39">
        <v>2182926.54955449</v>
      </c>
      <c r="AP59" s="39">
        <v>49778939.926249698</v>
      </c>
      <c r="AQ59" s="39">
        <v>43348647.068401903</v>
      </c>
      <c r="AR59" s="39">
        <v>55281632.563945003</v>
      </c>
      <c r="AT59" s="47">
        <v>7.9089376054000002E-2</v>
      </c>
      <c r="AU59" s="47">
        <v>0.66037099494100004</v>
      </c>
      <c r="AV59" s="47">
        <v>0</v>
      </c>
      <c r="AW59" s="47">
        <v>2.6981450252999998E-3</v>
      </c>
      <c r="AX59" s="47">
        <v>0</v>
      </c>
      <c r="AY59" s="47">
        <v>0.24502529511000001</v>
      </c>
      <c r="AZ59" s="47">
        <v>0</v>
      </c>
      <c r="BA59" s="47">
        <v>0</v>
      </c>
      <c r="BB59" s="47">
        <v>0</v>
      </c>
      <c r="BC59" s="47">
        <v>1.16357504216E-2</v>
      </c>
      <c r="BD59" s="47">
        <v>0</v>
      </c>
      <c r="BE59" s="47">
        <v>1.18043844857E-3</v>
      </c>
      <c r="BF59" s="47">
        <v>0</v>
      </c>
      <c r="BG59" s="48"/>
      <c r="BH59" s="43">
        <v>0</v>
      </c>
      <c r="BI59" s="43">
        <v>0</v>
      </c>
      <c r="BJ59" s="43">
        <v>0</v>
      </c>
      <c r="BK59" s="43">
        <v>0</v>
      </c>
      <c r="BL59" s="43">
        <v>0</v>
      </c>
      <c r="BM59" s="43">
        <v>0</v>
      </c>
      <c r="BN59" s="43">
        <v>0</v>
      </c>
      <c r="BO59" s="43">
        <v>0</v>
      </c>
      <c r="BP59" s="43">
        <v>0</v>
      </c>
      <c r="BQ59" s="43">
        <v>1.68634064081E-3</v>
      </c>
      <c r="BR59" s="43">
        <v>0</v>
      </c>
      <c r="BS59" s="43">
        <v>0</v>
      </c>
      <c r="BT59" s="43">
        <v>0.11787521079299999</v>
      </c>
      <c r="BU59" s="43">
        <v>0</v>
      </c>
      <c r="BV59" s="43">
        <v>2.5126475548100002E-2</v>
      </c>
      <c r="BW59" s="43">
        <v>0</v>
      </c>
      <c r="BX59" s="43">
        <v>0.10033726812800001</v>
      </c>
      <c r="BY59" s="43">
        <v>0</v>
      </c>
      <c r="BZ59" s="43">
        <v>0</v>
      </c>
      <c r="CA59" s="43">
        <v>0</v>
      </c>
      <c r="CB59" s="43">
        <v>0</v>
      </c>
      <c r="CC59" s="43">
        <v>0</v>
      </c>
      <c r="CD59" s="43">
        <v>0</v>
      </c>
      <c r="CE59" s="43">
        <v>2.6981450252999998E-3</v>
      </c>
      <c r="CF59" s="43">
        <v>0</v>
      </c>
      <c r="CG59" s="43">
        <v>0</v>
      </c>
      <c r="CH59" s="43">
        <v>0</v>
      </c>
      <c r="CI59" s="43">
        <v>0</v>
      </c>
      <c r="CJ59" s="43">
        <v>0</v>
      </c>
      <c r="CK59" s="43">
        <v>0</v>
      </c>
      <c r="CL59" s="43">
        <v>0</v>
      </c>
      <c r="CM59" s="43">
        <v>0</v>
      </c>
      <c r="CN59" s="43">
        <v>0</v>
      </c>
      <c r="CO59" s="43">
        <v>1.16357504216E-2</v>
      </c>
      <c r="CP59" s="43">
        <v>0</v>
      </c>
      <c r="CQ59" s="43">
        <v>0</v>
      </c>
      <c r="CR59" s="43">
        <v>0</v>
      </c>
      <c r="CS59" s="43">
        <v>0</v>
      </c>
      <c r="CT59" s="43">
        <v>0</v>
      </c>
      <c r="CU59" s="43">
        <v>0</v>
      </c>
      <c r="CV59" s="43">
        <v>0</v>
      </c>
      <c r="CW59" s="43">
        <v>0</v>
      </c>
      <c r="CX59" s="43">
        <v>0</v>
      </c>
      <c r="CY59" s="43">
        <v>0</v>
      </c>
      <c r="CZ59" s="43">
        <v>4.03035413153E-2</v>
      </c>
      <c r="DA59" s="43">
        <v>0</v>
      </c>
      <c r="DB59" s="43">
        <v>0</v>
      </c>
      <c r="DC59" s="43">
        <v>0</v>
      </c>
      <c r="DD59" s="43">
        <v>0.194603709949</v>
      </c>
      <c r="DE59" s="43">
        <v>2.0236087689699998E-2</v>
      </c>
      <c r="DF59" s="43">
        <v>1.18043844857E-3</v>
      </c>
      <c r="DG59" s="43">
        <v>3.1028667790900001E-2</v>
      </c>
      <c r="DH59" s="43">
        <v>0</v>
      </c>
      <c r="DI59" s="43">
        <v>0</v>
      </c>
      <c r="DJ59" s="43">
        <v>3.3726812816200001E-3</v>
      </c>
      <c r="DK59" s="43">
        <v>0</v>
      </c>
      <c r="DL59" s="43">
        <v>1.28161888702E-2</v>
      </c>
      <c r="DM59" s="43">
        <v>0</v>
      </c>
      <c r="DN59" s="43">
        <v>0</v>
      </c>
      <c r="DO59" s="43">
        <v>0</v>
      </c>
      <c r="DP59" s="43">
        <v>0</v>
      </c>
      <c r="DQ59" s="43">
        <v>4.9241146711600001E-2</v>
      </c>
      <c r="DR59" s="43">
        <v>0</v>
      </c>
      <c r="DS59" s="43">
        <v>4.3844856661000003E-3</v>
      </c>
      <c r="DT59" s="43">
        <v>0</v>
      </c>
      <c r="DU59" s="43">
        <v>5.7335581787499998E-3</v>
      </c>
      <c r="DV59" s="43">
        <v>0</v>
      </c>
      <c r="DW59" s="43">
        <v>0</v>
      </c>
      <c r="DX59" s="43">
        <v>0</v>
      </c>
      <c r="DY59" s="43">
        <v>0</v>
      </c>
      <c r="DZ59" s="43">
        <v>1.68634064081E-4</v>
      </c>
      <c r="EA59" s="43">
        <v>0</v>
      </c>
      <c r="EB59" s="43">
        <v>0.110455311973</v>
      </c>
      <c r="EC59" s="43">
        <v>0</v>
      </c>
      <c r="ED59" s="43">
        <v>3.67622259696E-2</v>
      </c>
      <c r="EE59" s="43">
        <v>0</v>
      </c>
      <c r="EF59" s="43">
        <v>0</v>
      </c>
      <c r="EG59" s="43">
        <v>4.4688026981499998E-2</v>
      </c>
      <c r="EH59" s="43">
        <v>0</v>
      </c>
      <c r="EI59" s="43">
        <v>0</v>
      </c>
      <c r="EJ59" s="43">
        <v>0</v>
      </c>
      <c r="EK59" s="43">
        <v>0</v>
      </c>
      <c r="EL59" s="43">
        <v>0</v>
      </c>
      <c r="EM59" s="43">
        <v>0</v>
      </c>
      <c r="EN59" s="43">
        <v>0</v>
      </c>
      <c r="EO59" s="43">
        <v>0</v>
      </c>
      <c r="EP59" s="43">
        <v>1.6188870151800001E-2</v>
      </c>
      <c r="EQ59" s="43">
        <v>0</v>
      </c>
      <c r="ER59" s="43">
        <v>0</v>
      </c>
      <c r="ES59" s="43">
        <v>0</v>
      </c>
      <c r="ET59" s="43">
        <v>0</v>
      </c>
      <c r="EU59" s="43">
        <v>0</v>
      </c>
      <c r="EV59" s="43">
        <v>0</v>
      </c>
      <c r="EW59" s="43">
        <v>0</v>
      </c>
      <c r="EX59" s="43">
        <v>0</v>
      </c>
      <c r="EY59" s="43">
        <v>1.6188870151800001E-2</v>
      </c>
      <c r="EZ59" s="43">
        <v>0</v>
      </c>
      <c r="FA59" s="43">
        <v>0</v>
      </c>
      <c r="FB59" s="43">
        <v>4.5699831365900001E-2</v>
      </c>
      <c r="FC59" s="43">
        <v>0</v>
      </c>
      <c r="FD59" s="43">
        <v>0</v>
      </c>
      <c r="FE59" s="43">
        <v>2.7318718381100001E-2</v>
      </c>
      <c r="FF59" s="43">
        <v>0</v>
      </c>
      <c r="FG59" s="43">
        <v>0</v>
      </c>
      <c r="FH59" s="43">
        <v>0</v>
      </c>
      <c r="FI59" s="43">
        <v>0</v>
      </c>
      <c r="FJ59" s="43">
        <v>0</v>
      </c>
      <c r="FK59" s="43">
        <v>0</v>
      </c>
      <c r="FL59" s="43">
        <v>0</v>
      </c>
      <c r="FM59" s="43">
        <v>0</v>
      </c>
      <c r="FN59" s="43">
        <v>0</v>
      </c>
      <c r="FO59" s="43">
        <v>0</v>
      </c>
      <c r="FP59" s="43">
        <v>0</v>
      </c>
      <c r="FQ59" s="43">
        <v>0</v>
      </c>
      <c r="FR59" s="43">
        <v>0</v>
      </c>
      <c r="FS59" s="43">
        <v>0</v>
      </c>
      <c r="FT59" s="43">
        <v>0</v>
      </c>
      <c r="FU59" s="43">
        <v>0</v>
      </c>
      <c r="FV59" s="43">
        <v>0</v>
      </c>
      <c r="FW59" s="43">
        <v>0</v>
      </c>
      <c r="FX59" s="43">
        <v>1.18043844857E-3</v>
      </c>
      <c r="FY59" s="43">
        <v>0</v>
      </c>
      <c r="FZ59" s="43">
        <v>0</v>
      </c>
      <c r="GA59" s="43">
        <v>0</v>
      </c>
      <c r="GB59" s="43">
        <v>0</v>
      </c>
      <c r="GC59" s="43">
        <v>7.9089376054000002E-2</v>
      </c>
      <c r="GD59" s="43">
        <v>0</v>
      </c>
    </row>
    <row r="60" spans="1:186" ht="16.5" x14ac:dyDescent="0.3">
      <c r="A60" s="21" t="s">
        <v>343</v>
      </c>
      <c r="B60" s="57" t="s">
        <v>287</v>
      </c>
      <c r="C60" s="23">
        <v>7.75</v>
      </c>
      <c r="D60" s="23" t="s">
        <v>183</v>
      </c>
      <c r="E60" s="24" t="s">
        <v>184</v>
      </c>
      <c r="F60" s="25" t="s">
        <v>344</v>
      </c>
      <c r="G60" s="26" t="s">
        <v>289</v>
      </c>
      <c r="H60" s="26" t="s">
        <v>184</v>
      </c>
      <c r="I60" s="27">
        <v>8</v>
      </c>
      <c r="J60" s="27">
        <v>134</v>
      </c>
      <c r="K60" s="27">
        <v>25</v>
      </c>
      <c r="L60" s="28">
        <f t="shared" si="19"/>
        <v>13.922922699933167</v>
      </c>
      <c r="M60" s="29">
        <v>7</v>
      </c>
      <c r="N60" s="30" t="s">
        <v>186</v>
      </c>
      <c r="O60" s="30" t="s">
        <v>186</v>
      </c>
      <c r="P60" s="30" t="s">
        <v>186</v>
      </c>
      <c r="Q60" s="30" t="s">
        <v>186</v>
      </c>
      <c r="R60" s="30" t="s">
        <v>186</v>
      </c>
      <c r="S60" s="31" t="s">
        <v>186</v>
      </c>
      <c r="T60" s="30" t="s">
        <v>186</v>
      </c>
      <c r="U60" s="30" t="s">
        <v>186</v>
      </c>
      <c r="V60" s="30" t="s">
        <v>236</v>
      </c>
      <c r="W60" s="30" t="s">
        <v>186</v>
      </c>
      <c r="X60" s="25">
        <v>12233.99517195282</v>
      </c>
      <c r="Y60" s="25">
        <v>2984.932279539627</v>
      </c>
      <c r="Z60" s="25">
        <v>716.25000915136741</v>
      </c>
      <c r="AA60" s="25">
        <v>3663.8821294620252</v>
      </c>
      <c r="AB60" s="25">
        <v>801.06017930746384</v>
      </c>
      <c r="AC60" s="25">
        <v>657.84070498807705</v>
      </c>
      <c r="AD60" s="32">
        <v>240.15</v>
      </c>
      <c r="AE60" s="32">
        <v>45.6875</v>
      </c>
      <c r="AF60" s="23" t="s">
        <v>183</v>
      </c>
      <c r="AG60" s="33">
        <v>125.45</v>
      </c>
      <c r="AH60" s="33">
        <v>17.3</v>
      </c>
      <c r="AI60" s="34">
        <f t="shared" si="20"/>
        <v>36.418891988840173</v>
      </c>
      <c r="AJ60" s="34">
        <f t="shared" si="21"/>
        <v>264.08959537572252</v>
      </c>
      <c r="AK60" s="35">
        <v>125.45</v>
      </c>
      <c r="AL60" s="58">
        <f t="shared" si="22"/>
        <v>36.418891988840173</v>
      </c>
      <c r="AM60" s="37">
        <v>17.3</v>
      </c>
      <c r="AN60" s="59">
        <f t="shared" si="23"/>
        <v>264.08959537572252</v>
      </c>
      <c r="AO60" s="39">
        <v>4822234.3648748398</v>
      </c>
      <c r="AP60" s="39">
        <v>71128315.070336699</v>
      </c>
      <c r="AQ60" s="39">
        <v>16375719.705680201</v>
      </c>
      <c r="AR60" s="39">
        <v>46212063.301109597</v>
      </c>
      <c r="AT60" s="47">
        <v>0.117537942664</v>
      </c>
      <c r="AU60" s="47">
        <v>0.38903878583500001</v>
      </c>
      <c r="AV60" s="47">
        <v>3.5244519392899999E-2</v>
      </c>
      <c r="AW60" s="47">
        <v>6.7453625632399997E-2</v>
      </c>
      <c r="AX60" s="47">
        <v>0</v>
      </c>
      <c r="AY60" s="47">
        <v>0.390725126476</v>
      </c>
      <c r="AZ60" s="47">
        <v>0</v>
      </c>
      <c r="BA60" s="47">
        <v>0</v>
      </c>
      <c r="BB60" s="47">
        <v>0</v>
      </c>
      <c r="BC60" s="47">
        <v>0</v>
      </c>
      <c r="BD60" s="47">
        <v>0</v>
      </c>
      <c r="BE60" s="47">
        <v>0</v>
      </c>
      <c r="BF60" s="47">
        <v>0</v>
      </c>
      <c r="BG60" s="48"/>
      <c r="BH60" s="43">
        <v>0</v>
      </c>
      <c r="BI60" s="43">
        <v>0</v>
      </c>
      <c r="BJ60" s="43">
        <v>0</v>
      </c>
      <c r="BK60" s="43">
        <v>0</v>
      </c>
      <c r="BL60" s="43">
        <v>0</v>
      </c>
      <c r="BM60" s="43">
        <v>0</v>
      </c>
      <c r="BN60" s="43">
        <v>0</v>
      </c>
      <c r="BO60" s="43">
        <v>0</v>
      </c>
      <c r="BP60" s="43">
        <v>0</v>
      </c>
      <c r="BQ60" s="43">
        <v>0</v>
      </c>
      <c r="BR60" s="43">
        <v>0</v>
      </c>
      <c r="BS60" s="43">
        <v>0</v>
      </c>
      <c r="BT60" s="43">
        <v>0.390725126476</v>
      </c>
      <c r="BU60" s="43">
        <v>0</v>
      </c>
      <c r="BV60" s="43">
        <v>0</v>
      </c>
      <c r="BW60" s="43">
        <v>0</v>
      </c>
      <c r="BX60" s="43">
        <v>0</v>
      </c>
      <c r="BY60" s="43">
        <v>0</v>
      </c>
      <c r="BZ60" s="43">
        <v>0</v>
      </c>
      <c r="CA60" s="43">
        <v>0</v>
      </c>
      <c r="CB60" s="43">
        <v>6.3912310286699997E-2</v>
      </c>
      <c r="CC60" s="43">
        <v>0</v>
      </c>
      <c r="CD60" s="43">
        <v>1.68634064081E-4</v>
      </c>
      <c r="CE60" s="43">
        <v>1.18043844857E-3</v>
      </c>
      <c r="CF60" s="43">
        <v>0</v>
      </c>
      <c r="CG60" s="43">
        <v>8.4317032040500002E-4</v>
      </c>
      <c r="CH60" s="43">
        <v>0</v>
      </c>
      <c r="CI60" s="43">
        <v>1.3490725126499999E-3</v>
      </c>
      <c r="CJ60" s="43">
        <v>0</v>
      </c>
      <c r="CK60" s="43">
        <v>0</v>
      </c>
      <c r="CL60" s="43">
        <v>0</v>
      </c>
      <c r="CM60" s="43">
        <v>0</v>
      </c>
      <c r="CN60" s="43">
        <v>0</v>
      </c>
      <c r="CO60" s="43">
        <v>0</v>
      </c>
      <c r="CP60" s="43">
        <v>0</v>
      </c>
      <c r="CQ60" s="43">
        <v>0</v>
      </c>
      <c r="CR60" s="43">
        <v>0</v>
      </c>
      <c r="CS60" s="43">
        <v>0</v>
      </c>
      <c r="CT60" s="43">
        <v>0</v>
      </c>
      <c r="CU60" s="43">
        <v>0</v>
      </c>
      <c r="CV60" s="43">
        <v>0</v>
      </c>
      <c r="CW60" s="43">
        <v>0</v>
      </c>
      <c r="CX60" s="43">
        <v>0</v>
      </c>
      <c r="CY60" s="43">
        <v>0</v>
      </c>
      <c r="CZ60" s="43">
        <v>0</v>
      </c>
      <c r="DA60" s="43">
        <v>0</v>
      </c>
      <c r="DB60" s="43">
        <v>0</v>
      </c>
      <c r="DC60" s="43">
        <v>0</v>
      </c>
      <c r="DD60" s="43">
        <v>3.32209106239E-2</v>
      </c>
      <c r="DE60" s="43">
        <v>0</v>
      </c>
      <c r="DF60" s="43">
        <v>0</v>
      </c>
      <c r="DG60" s="43">
        <v>6.5598650927500002E-2</v>
      </c>
      <c r="DH60" s="43">
        <v>0</v>
      </c>
      <c r="DI60" s="43">
        <v>0</v>
      </c>
      <c r="DJ60" s="43">
        <v>0</v>
      </c>
      <c r="DK60" s="43">
        <v>0</v>
      </c>
      <c r="DL60" s="43">
        <v>0</v>
      </c>
      <c r="DM60" s="43">
        <v>0</v>
      </c>
      <c r="DN60" s="43">
        <v>0</v>
      </c>
      <c r="DO60" s="43">
        <v>0</v>
      </c>
      <c r="DP60" s="43">
        <v>0</v>
      </c>
      <c r="DQ60" s="43">
        <v>4.7048903878600001E-2</v>
      </c>
      <c r="DR60" s="43">
        <v>0</v>
      </c>
      <c r="DS60" s="43">
        <v>3.3389544687999997E-2</v>
      </c>
      <c r="DT60" s="43">
        <v>0</v>
      </c>
      <c r="DU60" s="43">
        <v>0</v>
      </c>
      <c r="DV60" s="43">
        <v>0</v>
      </c>
      <c r="DW60" s="43">
        <v>1.0118043844900001E-2</v>
      </c>
      <c r="DX60" s="43">
        <v>0</v>
      </c>
      <c r="DY60" s="43">
        <v>0</v>
      </c>
      <c r="DZ60" s="43">
        <v>0</v>
      </c>
      <c r="EA60" s="43">
        <v>0</v>
      </c>
      <c r="EB60" s="43">
        <v>0</v>
      </c>
      <c r="EC60" s="43">
        <v>0</v>
      </c>
      <c r="ED60" s="43">
        <v>8.6003372681299997E-2</v>
      </c>
      <c r="EE60" s="43">
        <v>4.55311973019E-2</v>
      </c>
      <c r="EF60" s="43">
        <v>4.55311973019E-3</v>
      </c>
      <c r="EG60" s="43">
        <v>3.1871838111299997E-2</v>
      </c>
      <c r="EH60" s="43">
        <v>0</v>
      </c>
      <c r="EI60" s="43">
        <v>0</v>
      </c>
      <c r="EJ60" s="43">
        <v>0</v>
      </c>
      <c r="EK60" s="43">
        <v>0</v>
      </c>
      <c r="EL60" s="43">
        <v>0</v>
      </c>
      <c r="EM60" s="43">
        <v>0</v>
      </c>
      <c r="EN60" s="43">
        <v>0</v>
      </c>
      <c r="EO60" s="43">
        <v>0</v>
      </c>
      <c r="EP60" s="43">
        <v>0</v>
      </c>
      <c r="EQ60" s="43">
        <v>0</v>
      </c>
      <c r="ER60" s="43">
        <v>5.0590219224299999E-3</v>
      </c>
      <c r="ES60" s="43">
        <v>1.68634064081E-3</v>
      </c>
      <c r="ET60" s="43">
        <v>0</v>
      </c>
      <c r="EU60" s="43">
        <v>5.7335581787499998E-3</v>
      </c>
      <c r="EV60" s="43">
        <v>4.89038785835E-3</v>
      </c>
      <c r="EW60" s="43">
        <v>2.8667790893799998E-3</v>
      </c>
      <c r="EX60" s="43">
        <v>0</v>
      </c>
      <c r="EY60" s="43">
        <v>1.0623946037100001E-2</v>
      </c>
      <c r="EZ60" s="43">
        <v>0</v>
      </c>
      <c r="FA60" s="43">
        <v>5.0590219224299997E-4</v>
      </c>
      <c r="FB60" s="43">
        <v>0</v>
      </c>
      <c r="FC60" s="43">
        <v>3.37268128162E-4</v>
      </c>
      <c r="FD60" s="43">
        <v>0</v>
      </c>
      <c r="FE60" s="43">
        <v>0</v>
      </c>
      <c r="FF60" s="43">
        <v>0</v>
      </c>
      <c r="FG60" s="43">
        <v>0</v>
      </c>
      <c r="FH60" s="43">
        <v>0</v>
      </c>
      <c r="FI60" s="43">
        <v>0</v>
      </c>
      <c r="FJ60" s="43">
        <v>0</v>
      </c>
      <c r="FK60" s="43">
        <v>0</v>
      </c>
      <c r="FL60" s="43">
        <v>0</v>
      </c>
      <c r="FM60" s="43">
        <v>0</v>
      </c>
      <c r="FN60" s="43">
        <v>0</v>
      </c>
      <c r="FO60" s="43">
        <v>3.5244519392899999E-2</v>
      </c>
      <c r="FP60" s="43">
        <v>0</v>
      </c>
      <c r="FQ60" s="43">
        <v>0</v>
      </c>
      <c r="FR60" s="43">
        <v>0</v>
      </c>
      <c r="FS60" s="43">
        <v>0</v>
      </c>
      <c r="FT60" s="43">
        <v>0</v>
      </c>
      <c r="FU60" s="43">
        <v>0</v>
      </c>
      <c r="FV60" s="43">
        <v>0</v>
      </c>
      <c r="FW60" s="43">
        <v>0</v>
      </c>
      <c r="FX60" s="43">
        <v>0</v>
      </c>
      <c r="FY60" s="43">
        <v>0</v>
      </c>
      <c r="FZ60" s="43">
        <v>0</v>
      </c>
      <c r="GA60" s="43">
        <v>0</v>
      </c>
      <c r="GB60" s="43">
        <v>0</v>
      </c>
      <c r="GC60" s="43">
        <v>0.117537942664</v>
      </c>
      <c r="GD60" s="43">
        <v>0</v>
      </c>
    </row>
    <row r="61" spans="1:186" ht="16.5" x14ac:dyDescent="0.3">
      <c r="A61" s="21" t="s">
        <v>345</v>
      </c>
      <c r="B61" s="57" t="s">
        <v>287</v>
      </c>
      <c r="C61" s="23">
        <v>7.92</v>
      </c>
      <c r="D61" s="23" t="s">
        <v>183</v>
      </c>
      <c r="E61" s="24" t="s">
        <v>184</v>
      </c>
      <c r="F61" s="25" t="s">
        <v>346</v>
      </c>
      <c r="G61" s="26" t="s">
        <v>289</v>
      </c>
      <c r="H61" s="26" t="s">
        <v>184</v>
      </c>
      <c r="I61" s="27">
        <v>8</v>
      </c>
      <c r="J61" s="27">
        <v>127</v>
      </c>
      <c r="K61" s="27">
        <v>26</v>
      </c>
      <c r="L61" s="28">
        <f t="shared" si="19"/>
        <v>16.120032240064479</v>
      </c>
      <c r="M61" s="29">
        <v>58</v>
      </c>
      <c r="N61" s="30" t="s">
        <v>186</v>
      </c>
      <c r="O61" s="30" t="s">
        <v>186</v>
      </c>
      <c r="P61" s="30" t="s">
        <v>186</v>
      </c>
      <c r="Q61" s="30" t="s">
        <v>186</v>
      </c>
      <c r="R61" s="30" t="s">
        <v>186</v>
      </c>
      <c r="S61" s="31" t="s">
        <v>186</v>
      </c>
      <c r="T61" s="30" t="s">
        <v>186</v>
      </c>
      <c r="U61" s="30" t="s">
        <v>186</v>
      </c>
      <c r="V61" s="30" t="s">
        <v>186</v>
      </c>
      <c r="W61" s="30" t="s">
        <v>186</v>
      </c>
      <c r="X61" s="25">
        <v>5305.5854918327896</v>
      </c>
      <c r="Y61" s="25">
        <v>1868.8690019519677</v>
      </c>
      <c r="Z61" s="25">
        <v>1131.0247471744026</v>
      </c>
      <c r="AA61" s="25">
        <v>4615.9963941087153</v>
      </c>
      <c r="AB61" s="25">
        <v>1731.2459258541637</v>
      </c>
      <c r="AC61" s="25">
        <v>1243.462264248099</v>
      </c>
      <c r="AD61" s="32">
        <v>189.2</v>
      </c>
      <c r="AE61" s="32">
        <v>98.385000000000005</v>
      </c>
      <c r="AF61" s="23" t="s">
        <v>183</v>
      </c>
      <c r="AG61" s="33">
        <v>121.35</v>
      </c>
      <c r="AH61" s="33">
        <v>17.3</v>
      </c>
      <c r="AI61" s="34">
        <f t="shared" si="20"/>
        <v>81.075401730531524</v>
      </c>
      <c r="AJ61" s="34">
        <f t="shared" si="21"/>
        <v>568.69942196531792</v>
      </c>
      <c r="AK61" s="35">
        <v>121.35</v>
      </c>
      <c r="AL61" s="58">
        <f t="shared" si="22"/>
        <v>81.075401730531524</v>
      </c>
      <c r="AM61" s="37">
        <v>17.3</v>
      </c>
      <c r="AN61" s="59">
        <f t="shared" si="23"/>
        <v>568.69942196531792</v>
      </c>
      <c r="AO61" s="39">
        <v>1845195.77021221</v>
      </c>
      <c r="AP61" s="39">
        <v>82643682.098831207</v>
      </c>
      <c r="AQ61" s="39">
        <v>6427205.7970218798</v>
      </c>
      <c r="AR61" s="39">
        <v>24800090.106936298</v>
      </c>
      <c r="AT61" s="47">
        <v>1.68634064081E-4</v>
      </c>
      <c r="AU61" s="47">
        <v>0.65666104553100002</v>
      </c>
      <c r="AV61" s="47">
        <v>0</v>
      </c>
      <c r="AW61" s="47">
        <v>5.6155143338999999E-2</v>
      </c>
      <c r="AX61" s="47">
        <v>0</v>
      </c>
      <c r="AY61" s="47">
        <v>0.28701517706599999</v>
      </c>
      <c r="AZ61" s="47">
        <v>0</v>
      </c>
      <c r="BA61" s="47">
        <v>0</v>
      </c>
      <c r="BB61" s="47">
        <v>0</v>
      </c>
      <c r="BC61" s="47">
        <v>0</v>
      </c>
      <c r="BD61" s="47">
        <v>0</v>
      </c>
      <c r="BE61" s="47">
        <v>0</v>
      </c>
      <c r="BF61" s="47">
        <v>0</v>
      </c>
      <c r="BG61" s="48"/>
      <c r="BH61" s="43">
        <v>0</v>
      </c>
      <c r="BI61" s="43">
        <v>0</v>
      </c>
      <c r="BJ61" s="43">
        <v>0</v>
      </c>
      <c r="BK61" s="43">
        <v>0</v>
      </c>
      <c r="BL61" s="43">
        <v>0</v>
      </c>
      <c r="BM61" s="43">
        <v>6.5767284991600002E-3</v>
      </c>
      <c r="BN61" s="43">
        <v>0</v>
      </c>
      <c r="BO61" s="43">
        <v>0</v>
      </c>
      <c r="BP61" s="43">
        <v>3.37268128162E-4</v>
      </c>
      <c r="BQ61" s="43">
        <v>0</v>
      </c>
      <c r="BR61" s="43">
        <v>0</v>
      </c>
      <c r="BS61" s="43">
        <v>0</v>
      </c>
      <c r="BT61" s="43">
        <v>0.202529510961</v>
      </c>
      <c r="BU61" s="43">
        <v>1.2478920742000001E-2</v>
      </c>
      <c r="BV61" s="43">
        <v>0</v>
      </c>
      <c r="BW61" s="43">
        <v>0</v>
      </c>
      <c r="BX61" s="43">
        <v>6.5092748735200004E-2</v>
      </c>
      <c r="BY61" s="43">
        <v>0</v>
      </c>
      <c r="BZ61" s="43">
        <v>0</v>
      </c>
      <c r="CA61" s="43">
        <v>0</v>
      </c>
      <c r="CB61" s="43">
        <v>4.4350758853299997E-2</v>
      </c>
      <c r="CC61" s="43">
        <v>0</v>
      </c>
      <c r="CD61" s="43">
        <v>1.3490725126499999E-3</v>
      </c>
      <c r="CE61" s="43">
        <v>0</v>
      </c>
      <c r="CF61" s="43">
        <v>0</v>
      </c>
      <c r="CG61" s="43">
        <v>3.87858347386E-3</v>
      </c>
      <c r="CH61" s="43">
        <v>0</v>
      </c>
      <c r="CI61" s="43">
        <v>6.5767284991600002E-3</v>
      </c>
      <c r="CJ61" s="43">
        <v>0</v>
      </c>
      <c r="CK61" s="43">
        <v>0</v>
      </c>
      <c r="CL61" s="43">
        <v>0</v>
      </c>
      <c r="CM61" s="43">
        <v>0</v>
      </c>
      <c r="CN61" s="43">
        <v>0</v>
      </c>
      <c r="CO61" s="43">
        <v>0</v>
      </c>
      <c r="CP61" s="43">
        <v>0</v>
      </c>
      <c r="CQ61" s="43">
        <v>0</v>
      </c>
      <c r="CR61" s="43">
        <v>6.74536256324E-4</v>
      </c>
      <c r="CS61" s="43">
        <v>0</v>
      </c>
      <c r="CT61" s="43">
        <v>0</v>
      </c>
      <c r="CU61" s="43">
        <v>0</v>
      </c>
      <c r="CV61" s="43">
        <v>0</v>
      </c>
      <c r="CW61" s="43">
        <v>0</v>
      </c>
      <c r="CX61" s="43">
        <v>0</v>
      </c>
      <c r="CY61" s="43">
        <v>0</v>
      </c>
      <c r="CZ61" s="43">
        <v>0</v>
      </c>
      <c r="DA61" s="43">
        <v>0</v>
      </c>
      <c r="DB61" s="43">
        <v>0</v>
      </c>
      <c r="DC61" s="43">
        <v>0</v>
      </c>
      <c r="DD61" s="43">
        <v>1.7706576728500002E-2</v>
      </c>
      <c r="DE61" s="43">
        <v>3.4064080944399999E-2</v>
      </c>
      <c r="DF61" s="43">
        <v>5.0590219224299997E-4</v>
      </c>
      <c r="DG61" s="43">
        <v>8.0607082630700003E-2</v>
      </c>
      <c r="DH61" s="43">
        <v>1.18043844857E-3</v>
      </c>
      <c r="DI61" s="43">
        <v>0</v>
      </c>
      <c r="DJ61" s="43">
        <v>5.9359190556499998E-2</v>
      </c>
      <c r="DK61" s="43">
        <v>0</v>
      </c>
      <c r="DL61" s="43">
        <v>0</v>
      </c>
      <c r="DM61" s="43">
        <v>0</v>
      </c>
      <c r="DN61" s="43">
        <v>0</v>
      </c>
      <c r="DO61" s="43">
        <v>0</v>
      </c>
      <c r="DP61" s="43">
        <v>0</v>
      </c>
      <c r="DQ61" s="43">
        <v>3.2209106239499997E-2</v>
      </c>
      <c r="DR61" s="43">
        <v>0</v>
      </c>
      <c r="DS61" s="43">
        <v>6.8634064080900004E-2</v>
      </c>
      <c r="DT61" s="43">
        <v>8.0944350758899997E-3</v>
      </c>
      <c r="DU61" s="43">
        <v>4.3338954468799998E-2</v>
      </c>
      <c r="DV61" s="43">
        <v>0</v>
      </c>
      <c r="DW61" s="43">
        <v>0</v>
      </c>
      <c r="DX61" s="43">
        <v>2.6981450252999998E-3</v>
      </c>
      <c r="DY61" s="43">
        <v>0</v>
      </c>
      <c r="DZ61" s="43">
        <v>5.0590219224299997E-4</v>
      </c>
      <c r="EA61" s="43">
        <v>0</v>
      </c>
      <c r="EB61" s="43">
        <v>0.20101180438399999</v>
      </c>
      <c r="EC61" s="43">
        <v>0</v>
      </c>
      <c r="ED61" s="43">
        <v>9.0725126475500004E-2</v>
      </c>
      <c r="EE61" s="43">
        <v>0</v>
      </c>
      <c r="EF61" s="43">
        <v>0</v>
      </c>
      <c r="EG61" s="43">
        <v>0</v>
      </c>
      <c r="EH61" s="43">
        <v>0</v>
      </c>
      <c r="EI61" s="43">
        <v>8.2630691399700005E-3</v>
      </c>
      <c r="EJ61" s="43">
        <v>0</v>
      </c>
      <c r="EK61" s="43">
        <v>0</v>
      </c>
      <c r="EL61" s="43">
        <v>0</v>
      </c>
      <c r="EM61" s="43">
        <v>0</v>
      </c>
      <c r="EN61" s="43">
        <v>0</v>
      </c>
      <c r="EO61" s="43">
        <v>0</v>
      </c>
      <c r="EP61" s="43">
        <v>1.3490725126499999E-3</v>
      </c>
      <c r="EQ61" s="43">
        <v>0</v>
      </c>
      <c r="ER61" s="43">
        <v>0</v>
      </c>
      <c r="ES61" s="43">
        <v>0</v>
      </c>
      <c r="ET61" s="43">
        <v>0</v>
      </c>
      <c r="EU61" s="43">
        <v>0</v>
      </c>
      <c r="EV61" s="43">
        <v>3.0354131534600002E-3</v>
      </c>
      <c r="EW61" s="43">
        <v>0</v>
      </c>
      <c r="EX61" s="43">
        <v>0</v>
      </c>
      <c r="EY61" s="43">
        <v>2.6981450252999998E-3</v>
      </c>
      <c r="EZ61" s="43">
        <v>0</v>
      </c>
      <c r="FA61" s="43">
        <v>0</v>
      </c>
      <c r="FB61" s="43">
        <v>0</v>
      </c>
      <c r="FC61" s="43">
        <v>0</v>
      </c>
      <c r="FD61" s="43">
        <v>0</v>
      </c>
      <c r="FE61" s="43">
        <v>0</v>
      </c>
      <c r="FF61" s="43">
        <v>0</v>
      </c>
      <c r="FG61" s="43">
        <v>0</v>
      </c>
      <c r="FH61" s="43">
        <v>0</v>
      </c>
      <c r="FI61" s="43">
        <v>0</v>
      </c>
      <c r="FJ61" s="43">
        <v>0</v>
      </c>
      <c r="FK61" s="43">
        <v>0</v>
      </c>
      <c r="FL61" s="43">
        <v>0</v>
      </c>
      <c r="FM61" s="43">
        <v>0</v>
      </c>
      <c r="FN61" s="43">
        <v>0</v>
      </c>
      <c r="FO61" s="43">
        <v>0</v>
      </c>
      <c r="FP61" s="43">
        <v>0</v>
      </c>
      <c r="FQ61" s="43">
        <v>0</v>
      </c>
      <c r="FR61" s="43">
        <v>0</v>
      </c>
      <c r="FS61" s="43">
        <v>0</v>
      </c>
      <c r="FT61" s="43">
        <v>0</v>
      </c>
      <c r="FU61" s="43">
        <v>0</v>
      </c>
      <c r="FV61" s="43">
        <v>0</v>
      </c>
      <c r="FW61" s="43">
        <v>0</v>
      </c>
      <c r="FX61" s="43">
        <v>0</v>
      </c>
      <c r="FY61" s="43">
        <v>0</v>
      </c>
      <c r="FZ61" s="43">
        <v>0</v>
      </c>
      <c r="GA61" s="43">
        <v>0</v>
      </c>
      <c r="GB61" s="43">
        <v>0</v>
      </c>
      <c r="GC61" s="43">
        <v>1.68634064081E-4</v>
      </c>
      <c r="GD61" s="43">
        <v>0</v>
      </c>
    </row>
    <row r="62" spans="1:186" ht="16.5" x14ac:dyDescent="0.3">
      <c r="A62" s="21" t="s">
        <v>347</v>
      </c>
      <c r="B62" s="57" t="s">
        <v>287</v>
      </c>
      <c r="C62" s="23">
        <v>7.67</v>
      </c>
      <c r="D62" s="23" t="s">
        <v>183</v>
      </c>
      <c r="E62" s="24" t="s">
        <v>243</v>
      </c>
      <c r="F62" s="25" t="s">
        <v>348</v>
      </c>
      <c r="G62" s="26" t="s">
        <v>289</v>
      </c>
      <c r="H62" s="51" t="s">
        <v>243</v>
      </c>
      <c r="I62" s="52">
        <v>8</v>
      </c>
      <c r="J62" s="52">
        <v>125</v>
      </c>
      <c r="K62" s="52">
        <v>22</v>
      </c>
      <c r="L62" s="53">
        <f t="shared" si="19"/>
        <v>14.08</v>
      </c>
      <c r="M62" s="54">
        <v>12</v>
      </c>
      <c r="N62" s="30" t="s">
        <v>186</v>
      </c>
      <c r="O62" s="30" t="s">
        <v>186</v>
      </c>
      <c r="P62" s="30" t="s">
        <v>186</v>
      </c>
      <c r="Q62" s="30" t="s">
        <v>186</v>
      </c>
      <c r="R62" s="30" t="s">
        <v>186</v>
      </c>
      <c r="S62" s="31" t="s">
        <v>186</v>
      </c>
      <c r="T62" s="30" t="s">
        <v>186</v>
      </c>
      <c r="U62" s="30" t="s">
        <v>186</v>
      </c>
      <c r="V62" s="30" t="s">
        <v>186</v>
      </c>
      <c r="W62" s="30" t="s">
        <v>186</v>
      </c>
      <c r="X62" s="25">
        <v>5086.3652994349231</v>
      </c>
      <c r="Y62" s="25">
        <v>2480.7765872407253</v>
      </c>
      <c r="Z62" s="25">
        <v>605.76554951914648</v>
      </c>
      <c r="AA62" s="25">
        <v>2249.4890739874995</v>
      </c>
      <c r="AB62" s="25">
        <v>850.86722240642086</v>
      </c>
      <c r="AC62" s="25">
        <v>603.86464578175605</v>
      </c>
      <c r="AD62" s="32">
        <v>124.6</v>
      </c>
      <c r="AE62" s="32">
        <v>54.625</v>
      </c>
      <c r="AF62" s="23" t="s">
        <v>183</v>
      </c>
      <c r="AG62" s="33">
        <v>127.5</v>
      </c>
      <c r="AH62" s="33">
        <v>17.3</v>
      </c>
      <c r="AI62" s="34">
        <f t="shared" si="20"/>
        <v>42.843137254901961</v>
      </c>
      <c r="AJ62" s="34">
        <f t="shared" si="21"/>
        <v>315.75144508670519</v>
      </c>
      <c r="AK62" s="35">
        <v>127.5</v>
      </c>
      <c r="AL62" s="58">
        <f t="shared" si="22"/>
        <v>42.843137254901961</v>
      </c>
      <c r="AM62" s="37">
        <v>17.3</v>
      </c>
      <c r="AN62" s="59">
        <f t="shared" si="23"/>
        <v>315.75144508670519</v>
      </c>
      <c r="AO62" s="39">
        <v>5224864.955906</v>
      </c>
      <c r="AP62" s="39">
        <v>8428619.1350243893</v>
      </c>
      <c r="AQ62" s="39">
        <v>77660795.961273104</v>
      </c>
      <c r="AR62" s="39">
        <v>2156697.5292311399</v>
      </c>
      <c r="AT62" s="47">
        <v>2.1247892074200001E-2</v>
      </c>
      <c r="AU62" s="47">
        <v>0.72107925800999995</v>
      </c>
      <c r="AV62" s="47">
        <v>5.76728499157E-2</v>
      </c>
      <c r="AW62" s="47">
        <v>2.58010118044E-2</v>
      </c>
      <c r="AX62" s="47">
        <v>1.68634064081E-4</v>
      </c>
      <c r="AY62" s="47">
        <v>0.17403035413199999</v>
      </c>
      <c r="AZ62" s="47">
        <v>0</v>
      </c>
      <c r="BA62" s="47">
        <v>0</v>
      </c>
      <c r="BB62" s="47">
        <v>0</v>
      </c>
      <c r="BC62" s="47">
        <v>0</v>
      </c>
      <c r="BD62" s="47">
        <v>0</v>
      </c>
      <c r="BE62" s="47">
        <v>0</v>
      </c>
      <c r="BF62" s="47">
        <v>0</v>
      </c>
      <c r="BG62" s="48"/>
      <c r="BH62" s="43">
        <v>0</v>
      </c>
      <c r="BI62" s="43">
        <v>0</v>
      </c>
      <c r="BJ62" s="43">
        <v>0</v>
      </c>
      <c r="BK62" s="43">
        <v>0</v>
      </c>
      <c r="BL62" s="43">
        <v>0</v>
      </c>
      <c r="BM62" s="43">
        <v>1.3490725126499999E-3</v>
      </c>
      <c r="BN62" s="43">
        <v>0</v>
      </c>
      <c r="BO62" s="43">
        <v>0</v>
      </c>
      <c r="BP62" s="43">
        <v>8.4317032040500002E-4</v>
      </c>
      <c r="BQ62" s="43">
        <v>0</v>
      </c>
      <c r="BR62" s="43">
        <v>0</v>
      </c>
      <c r="BS62" s="43">
        <v>0</v>
      </c>
      <c r="BT62" s="43">
        <v>0.119055649241</v>
      </c>
      <c r="BU62" s="43">
        <v>6.4080944350800003E-3</v>
      </c>
      <c r="BV62" s="43">
        <v>0</v>
      </c>
      <c r="BW62" s="43">
        <v>8.6003372681300004E-3</v>
      </c>
      <c r="BX62" s="43">
        <v>3.7774030354099999E-2</v>
      </c>
      <c r="BY62" s="43">
        <v>0</v>
      </c>
      <c r="BZ62" s="43">
        <v>0</v>
      </c>
      <c r="CA62" s="43">
        <v>0</v>
      </c>
      <c r="CB62" s="43">
        <v>2.34401349073E-2</v>
      </c>
      <c r="CC62" s="43">
        <v>0</v>
      </c>
      <c r="CD62" s="43">
        <v>0</v>
      </c>
      <c r="CE62" s="43">
        <v>1.01180438449E-3</v>
      </c>
      <c r="CF62" s="43">
        <v>0</v>
      </c>
      <c r="CG62" s="43">
        <v>3.37268128162E-4</v>
      </c>
      <c r="CH62" s="43">
        <v>0</v>
      </c>
      <c r="CI62" s="43">
        <v>0</v>
      </c>
      <c r="CJ62" s="43">
        <v>1.01180438449E-3</v>
      </c>
      <c r="CK62" s="43">
        <v>0</v>
      </c>
      <c r="CL62" s="43">
        <v>0</v>
      </c>
      <c r="CM62" s="43">
        <v>0</v>
      </c>
      <c r="CN62" s="43">
        <v>0</v>
      </c>
      <c r="CO62" s="43">
        <v>0</v>
      </c>
      <c r="CP62" s="43">
        <v>0</v>
      </c>
      <c r="CQ62" s="43">
        <v>0</v>
      </c>
      <c r="CR62" s="43">
        <v>0</v>
      </c>
      <c r="CS62" s="43">
        <v>0</v>
      </c>
      <c r="CT62" s="43">
        <v>0</v>
      </c>
      <c r="CU62" s="43">
        <v>0</v>
      </c>
      <c r="CV62" s="43">
        <v>0</v>
      </c>
      <c r="CW62" s="43">
        <v>0</v>
      </c>
      <c r="CX62" s="43">
        <v>0</v>
      </c>
      <c r="CY62" s="43">
        <v>0</v>
      </c>
      <c r="CZ62" s="43">
        <v>3.37268128162E-4</v>
      </c>
      <c r="DA62" s="43">
        <v>0</v>
      </c>
      <c r="DB62" s="43">
        <v>0</v>
      </c>
      <c r="DC62" s="43">
        <v>0</v>
      </c>
      <c r="DD62" s="43">
        <v>8.3136593591899996E-2</v>
      </c>
      <c r="DE62" s="43">
        <v>4.89038785835E-3</v>
      </c>
      <c r="DF62" s="43">
        <v>1.01180438449E-3</v>
      </c>
      <c r="DG62" s="43">
        <v>0.16374367622300001</v>
      </c>
      <c r="DH62" s="43">
        <v>2.0236087689700002E-3</v>
      </c>
      <c r="DI62" s="43">
        <v>0</v>
      </c>
      <c r="DJ62" s="43">
        <v>3.4907251264800002E-2</v>
      </c>
      <c r="DK62" s="43">
        <v>0</v>
      </c>
      <c r="DL62" s="43">
        <v>0</v>
      </c>
      <c r="DM62" s="43">
        <v>0</v>
      </c>
      <c r="DN62" s="43">
        <v>0</v>
      </c>
      <c r="DO62" s="43">
        <v>0</v>
      </c>
      <c r="DP62" s="43">
        <v>0</v>
      </c>
      <c r="DQ62" s="43">
        <v>8.7015177065800003E-2</v>
      </c>
      <c r="DR62" s="43">
        <v>0</v>
      </c>
      <c r="DS62" s="43">
        <v>6.1720067453600001E-2</v>
      </c>
      <c r="DT62" s="43">
        <v>6.74536256324E-4</v>
      </c>
      <c r="DU62" s="43">
        <v>4.3338954468799998E-2</v>
      </c>
      <c r="DV62" s="43">
        <v>0</v>
      </c>
      <c r="DW62" s="43">
        <v>0</v>
      </c>
      <c r="DX62" s="43">
        <v>0</v>
      </c>
      <c r="DY62" s="43">
        <v>0</v>
      </c>
      <c r="DZ62" s="43">
        <v>1.02866779089E-2</v>
      </c>
      <c r="EA62" s="43">
        <v>0</v>
      </c>
      <c r="EB62" s="43">
        <v>8.8701517706599994E-2</v>
      </c>
      <c r="EC62" s="43">
        <v>0</v>
      </c>
      <c r="ED62" s="43">
        <v>7.6897133220899999E-2</v>
      </c>
      <c r="EE62" s="43">
        <v>0</v>
      </c>
      <c r="EF62" s="43">
        <v>0</v>
      </c>
      <c r="EG62" s="43">
        <v>2.93423271501E-2</v>
      </c>
      <c r="EH62" s="43">
        <v>0</v>
      </c>
      <c r="EI62" s="43">
        <v>0</v>
      </c>
      <c r="EJ62" s="43">
        <v>0</v>
      </c>
      <c r="EK62" s="43">
        <v>0</v>
      </c>
      <c r="EL62" s="43">
        <v>0</v>
      </c>
      <c r="EM62" s="43">
        <v>0</v>
      </c>
      <c r="EN62" s="43">
        <v>0</v>
      </c>
      <c r="EO62" s="43">
        <v>0</v>
      </c>
      <c r="EP62" s="43">
        <v>1.48397976391E-2</v>
      </c>
      <c r="EQ62" s="43">
        <v>6.74536256324E-4</v>
      </c>
      <c r="ER62" s="43">
        <v>0</v>
      </c>
      <c r="ES62" s="43">
        <v>0</v>
      </c>
      <c r="ET62" s="43">
        <v>0</v>
      </c>
      <c r="EU62" s="43">
        <v>1.85497470489E-3</v>
      </c>
      <c r="EV62" s="43">
        <v>0</v>
      </c>
      <c r="EW62" s="43">
        <v>0</v>
      </c>
      <c r="EX62" s="43">
        <v>2.3608768971300001E-3</v>
      </c>
      <c r="EY62" s="43">
        <v>1.33220910624E-2</v>
      </c>
      <c r="EZ62" s="43">
        <v>0</v>
      </c>
      <c r="FA62" s="43">
        <v>0</v>
      </c>
      <c r="FB62" s="43">
        <v>0</v>
      </c>
      <c r="FC62" s="43">
        <v>0</v>
      </c>
      <c r="FD62" s="43">
        <v>0</v>
      </c>
      <c r="FE62" s="43">
        <v>0</v>
      </c>
      <c r="FF62" s="43">
        <v>0</v>
      </c>
      <c r="FG62" s="43">
        <v>0</v>
      </c>
      <c r="FH62" s="43">
        <v>0</v>
      </c>
      <c r="FI62" s="43">
        <v>0</v>
      </c>
      <c r="FJ62" s="43">
        <v>0</v>
      </c>
      <c r="FK62" s="43">
        <v>0</v>
      </c>
      <c r="FL62" s="43">
        <v>0</v>
      </c>
      <c r="FM62" s="43">
        <v>0</v>
      </c>
      <c r="FN62" s="43">
        <v>0</v>
      </c>
      <c r="FO62" s="43">
        <v>5.76728499157E-2</v>
      </c>
      <c r="FP62" s="43">
        <v>0</v>
      </c>
      <c r="FQ62" s="43">
        <v>0</v>
      </c>
      <c r="FR62" s="43">
        <v>0</v>
      </c>
      <c r="FS62" s="43">
        <v>0</v>
      </c>
      <c r="FT62" s="43">
        <v>0</v>
      </c>
      <c r="FU62" s="43">
        <v>0</v>
      </c>
      <c r="FV62" s="43">
        <v>0</v>
      </c>
      <c r="FW62" s="43">
        <v>0</v>
      </c>
      <c r="FX62" s="43">
        <v>0</v>
      </c>
      <c r="FY62" s="43">
        <v>0</v>
      </c>
      <c r="FZ62" s="43">
        <v>1.68634064081E-4</v>
      </c>
      <c r="GA62" s="43">
        <v>0</v>
      </c>
      <c r="GB62" s="43">
        <v>0</v>
      </c>
      <c r="GC62" s="43">
        <v>2.1247892074200001E-2</v>
      </c>
      <c r="GD62" s="43">
        <v>0</v>
      </c>
    </row>
    <row r="63" spans="1:186" ht="16.5" x14ac:dyDescent="0.3">
      <c r="A63" s="21" t="s">
        <v>349</v>
      </c>
      <c r="B63" s="57" t="s">
        <v>287</v>
      </c>
      <c r="C63" s="23">
        <v>8.92</v>
      </c>
      <c r="D63" s="23" t="s">
        <v>183</v>
      </c>
      <c r="E63" s="24" t="s">
        <v>243</v>
      </c>
      <c r="F63" s="25" t="s">
        <v>350</v>
      </c>
      <c r="G63" s="26" t="s">
        <v>289</v>
      </c>
      <c r="H63" s="51" t="s">
        <v>243</v>
      </c>
      <c r="I63" s="52">
        <v>9</v>
      </c>
      <c r="J63" s="52">
        <v>140</v>
      </c>
      <c r="K63" s="52">
        <v>30</v>
      </c>
      <c r="L63" s="53">
        <f t="shared" si="19"/>
        <v>15.306122448979593</v>
      </c>
      <c r="M63" s="54">
        <v>30</v>
      </c>
      <c r="N63" s="30" t="s">
        <v>186</v>
      </c>
      <c r="O63" s="30" t="s">
        <v>186</v>
      </c>
      <c r="P63" s="30" t="s">
        <v>186</v>
      </c>
      <c r="Q63" s="30" t="s">
        <v>186</v>
      </c>
      <c r="R63" s="30" t="s">
        <v>186</v>
      </c>
      <c r="S63" s="31" t="s">
        <v>186</v>
      </c>
      <c r="T63" s="30" t="s">
        <v>186</v>
      </c>
      <c r="U63" s="30" t="s">
        <v>351</v>
      </c>
      <c r="V63" s="30" t="s">
        <v>207</v>
      </c>
      <c r="W63" s="30" t="s">
        <v>186</v>
      </c>
      <c r="X63" s="25">
        <v>12594.991104553228</v>
      </c>
      <c r="Y63" s="25">
        <v>1210.4711237521749</v>
      </c>
      <c r="Z63" s="25">
        <v>151.01150539295239</v>
      </c>
      <c r="AA63" s="25">
        <v>7067.1155507027597</v>
      </c>
      <c r="AB63" s="25">
        <v>120.22884086577284</v>
      </c>
      <c r="AC63" s="25">
        <v>237.57575597776571</v>
      </c>
      <c r="AD63" s="32">
        <v>57.2</v>
      </c>
      <c r="AE63" s="32">
        <v>75.272499999999994</v>
      </c>
      <c r="AF63" s="23" t="s">
        <v>183</v>
      </c>
      <c r="AG63" s="33">
        <v>99.7</v>
      </c>
      <c r="AH63" s="33">
        <v>16.399999999999999</v>
      </c>
      <c r="AI63" s="34">
        <f t="shared" si="20"/>
        <v>75.498996990972913</v>
      </c>
      <c r="AJ63" s="34">
        <f t="shared" si="21"/>
        <v>458.97865853658539</v>
      </c>
      <c r="AK63" s="35">
        <v>99.7</v>
      </c>
      <c r="AL63" s="58">
        <f t="shared" si="22"/>
        <v>75.498996990972913</v>
      </c>
      <c r="AM63" s="37">
        <v>16.399999999999999</v>
      </c>
      <c r="AN63" s="59">
        <f t="shared" si="23"/>
        <v>458.97865853658539</v>
      </c>
      <c r="AO63" s="39">
        <v>40119976.9996484</v>
      </c>
      <c r="AP63" s="39">
        <v>13269371.062226599</v>
      </c>
      <c r="AQ63" s="39">
        <v>4953070.0448461398</v>
      </c>
      <c r="AR63" s="39">
        <v>16685936.5663929</v>
      </c>
      <c r="AT63" s="47">
        <v>0.42613827993300002</v>
      </c>
      <c r="AU63" s="47">
        <v>0.47925801011800001</v>
      </c>
      <c r="AV63" s="47">
        <v>1.1298482293400001E-2</v>
      </c>
      <c r="AW63" s="47">
        <v>1.8887015177100001E-2</v>
      </c>
      <c r="AX63" s="47">
        <v>5.2276559865099999E-3</v>
      </c>
      <c r="AY63" s="47">
        <v>5.88532883642E-2</v>
      </c>
      <c r="AZ63" s="47">
        <v>0</v>
      </c>
      <c r="BA63" s="47">
        <v>0</v>
      </c>
      <c r="BB63" s="47">
        <v>3.37268128162E-4</v>
      </c>
      <c r="BC63" s="47">
        <v>0</v>
      </c>
      <c r="BD63" s="47">
        <v>0</v>
      </c>
      <c r="BE63" s="47">
        <v>0</v>
      </c>
      <c r="BF63" s="47">
        <v>0</v>
      </c>
      <c r="BG63" s="48"/>
      <c r="BH63" s="43">
        <v>3.37268128162E-4</v>
      </c>
      <c r="BI63" s="43">
        <v>0</v>
      </c>
      <c r="BJ63" s="43">
        <v>0</v>
      </c>
      <c r="BK63" s="43">
        <v>0</v>
      </c>
      <c r="BL63" s="43">
        <v>0</v>
      </c>
      <c r="BM63" s="43">
        <v>5.3962900505899998E-3</v>
      </c>
      <c r="BN63" s="43">
        <v>0</v>
      </c>
      <c r="BO63" s="43">
        <v>0</v>
      </c>
      <c r="BP63" s="43">
        <v>2.1922428330500001E-3</v>
      </c>
      <c r="BQ63" s="43">
        <v>0</v>
      </c>
      <c r="BR63" s="43">
        <v>0</v>
      </c>
      <c r="BS63" s="43">
        <v>0</v>
      </c>
      <c r="BT63" s="43">
        <v>0</v>
      </c>
      <c r="BU63" s="43">
        <v>3.87858347386E-3</v>
      </c>
      <c r="BV63" s="43">
        <v>2.20910623946E-2</v>
      </c>
      <c r="BW63" s="43">
        <v>1.8887015177100001E-2</v>
      </c>
      <c r="BX63" s="43">
        <v>0</v>
      </c>
      <c r="BY63" s="43">
        <v>6.4080944350800003E-3</v>
      </c>
      <c r="BZ63" s="43">
        <v>0</v>
      </c>
      <c r="CA63" s="43">
        <v>0</v>
      </c>
      <c r="CB63" s="43">
        <v>1.8887015177100001E-2</v>
      </c>
      <c r="CC63" s="43">
        <v>0</v>
      </c>
      <c r="CD63" s="43">
        <v>0</v>
      </c>
      <c r="CE63" s="43">
        <v>0</v>
      </c>
      <c r="CF63" s="43">
        <v>0</v>
      </c>
      <c r="CG63" s="43">
        <v>0</v>
      </c>
      <c r="CH63" s="43">
        <v>0</v>
      </c>
      <c r="CI63" s="43">
        <v>0</v>
      </c>
      <c r="CJ63" s="43">
        <v>0</v>
      </c>
      <c r="CK63" s="43">
        <v>0</v>
      </c>
      <c r="CL63" s="43">
        <v>0</v>
      </c>
      <c r="CM63" s="43">
        <v>0</v>
      </c>
      <c r="CN63" s="43">
        <v>0</v>
      </c>
      <c r="CO63" s="43">
        <v>0</v>
      </c>
      <c r="CP63" s="43">
        <v>0</v>
      </c>
      <c r="CQ63" s="43">
        <v>0</v>
      </c>
      <c r="CR63" s="43">
        <v>0</v>
      </c>
      <c r="CS63" s="43">
        <v>1.68634064081E-3</v>
      </c>
      <c r="CT63" s="43">
        <v>0</v>
      </c>
      <c r="CU63" s="43">
        <v>0</v>
      </c>
      <c r="CV63" s="43">
        <v>0</v>
      </c>
      <c r="CW63" s="43">
        <v>0</v>
      </c>
      <c r="CX63" s="43">
        <v>5.3962900505899998E-3</v>
      </c>
      <c r="CY63" s="43">
        <v>0</v>
      </c>
      <c r="CZ63" s="43">
        <v>1.18043844857E-3</v>
      </c>
      <c r="DA63" s="43">
        <v>0</v>
      </c>
      <c r="DB63" s="43">
        <v>0</v>
      </c>
      <c r="DC63" s="43">
        <v>0</v>
      </c>
      <c r="DD63" s="43">
        <v>5.37942664418E-2</v>
      </c>
      <c r="DE63" s="43">
        <v>1.18043844857E-3</v>
      </c>
      <c r="DF63" s="43">
        <v>0</v>
      </c>
      <c r="DG63" s="43">
        <v>2.8836424957799998E-2</v>
      </c>
      <c r="DH63" s="43">
        <v>0</v>
      </c>
      <c r="DI63" s="43">
        <v>0</v>
      </c>
      <c r="DJ63" s="43">
        <v>0</v>
      </c>
      <c r="DK63" s="43">
        <v>0</v>
      </c>
      <c r="DL63" s="43">
        <v>0</v>
      </c>
      <c r="DM63" s="43">
        <v>0</v>
      </c>
      <c r="DN63" s="43">
        <v>0</v>
      </c>
      <c r="DO63" s="43">
        <v>0</v>
      </c>
      <c r="DP63" s="43">
        <v>0</v>
      </c>
      <c r="DQ63" s="43">
        <v>4.3338954468799998E-2</v>
      </c>
      <c r="DR63" s="43">
        <v>0</v>
      </c>
      <c r="DS63" s="43">
        <v>6.4755480607099999E-2</v>
      </c>
      <c r="DT63" s="43">
        <v>4.0472175379400004E-3</v>
      </c>
      <c r="DU63" s="43">
        <v>0</v>
      </c>
      <c r="DV63" s="43">
        <v>0</v>
      </c>
      <c r="DW63" s="43">
        <v>0</v>
      </c>
      <c r="DX63" s="43">
        <v>0</v>
      </c>
      <c r="DY63" s="43">
        <v>0</v>
      </c>
      <c r="DZ63" s="43">
        <v>6.5430016863399998E-2</v>
      </c>
      <c r="EA63" s="43">
        <v>0</v>
      </c>
      <c r="EB63" s="43">
        <v>5.6998313659400002E-2</v>
      </c>
      <c r="EC63" s="43">
        <v>0</v>
      </c>
      <c r="ED63" s="43">
        <v>5.8178752107900002E-2</v>
      </c>
      <c r="EE63" s="43">
        <v>0</v>
      </c>
      <c r="EF63" s="43">
        <v>1.68634064081E-4</v>
      </c>
      <c r="EG63" s="43">
        <v>3.5413153457000001E-3</v>
      </c>
      <c r="EH63" s="43">
        <v>0</v>
      </c>
      <c r="EI63" s="43">
        <v>0</v>
      </c>
      <c r="EJ63" s="43">
        <v>0</v>
      </c>
      <c r="EK63" s="43">
        <v>3.37268128162E-4</v>
      </c>
      <c r="EL63" s="43">
        <v>0</v>
      </c>
      <c r="EM63" s="43">
        <v>0</v>
      </c>
      <c r="EN63" s="43">
        <v>7.7571669477199999E-3</v>
      </c>
      <c r="EO63" s="43">
        <v>6.9139966273200001E-3</v>
      </c>
      <c r="EP63" s="43">
        <v>1.68634064081E-4</v>
      </c>
      <c r="EQ63" s="43">
        <v>0</v>
      </c>
      <c r="ER63" s="43">
        <v>0</v>
      </c>
      <c r="ES63" s="43">
        <v>0</v>
      </c>
      <c r="ET63" s="43">
        <v>1.68634064081E-3</v>
      </c>
      <c r="EU63" s="43">
        <v>0</v>
      </c>
      <c r="EV63" s="43">
        <v>0</v>
      </c>
      <c r="EW63" s="43">
        <v>0</v>
      </c>
      <c r="EX63" s="43">
        <v>0</v>
      </c>
      <c r="EY63" s="43">
        <v>5.0590219224299997E-4</v>
      </c>
      <c r="EZ63" s="43">
        <v>0</v>
      </c>
      <c r="FA63" s="43">
        <v>1.3490725126499999E-3</v>
      </c>
      <c r="FB63" s="43">
        <v>0</v>
      </c>
      <c r="FC63" s="43">
        <v>0</v>
      </c>
      <c r="FD63" s="43">
        <v>0</v>
      </c>
      <c r="FE63" s="43">
        <v>7.2006745362600003E-2</v>
      </c>
      <c r="FF63" s="43">
        <v>0</v>
      </c>
      <c r="FG63" s="43">
        <v>0</v>
      </c>
      <c r="FH63" s="43">
        <v>0</v>
      </c>
      <c r="FI63" s="43">
        <v>0</v>
      </c>
      <c r="FJ63" s="43">
        <v>0</v>
      </c>
      <c r="FK63" s="43">
        <v>0</v>
      </c>
      <c r="FL63" s="43">
        <v>0</v>
      </c>
      <c r="FM63" s="43">
        <v>0</v>
      </c>
      <c r="FN63" s="43">
        <v>0</v>
      </c>
      <c r="FO63" s="43">
        <v>0</v>
      </c>
      <c r="FP63" s="43">
        <v>1.1298482293400001E-2</v>
      </c>
      <c r="FQ63" s="43">
        <v>0</v>
      </c>
      <c r="FR63" s="43">
        <v>0</v>
      </c>
      <c r="FS63" s="43">
        <v>0</v>
      </c>
      <c r="FT63" s="43">
        <v>0</v>
      </c>
      <c r="FU63" s="43">
        <v>0</v>
      </c>
      <c r="FV63" s="43">
        <v>0</v>
      </c>
      <c r="FW63" s="43">
        <v>0</v>
      </c>
      <c r="FX63" s="43">
        <v>0</v>
      </c>
      <c r="FY63" s="43">
        <v>0</v>
      </c>
      <c r="FZ63" s="43">
        <v>5.2276559865099999E-3</v>
      </c>
      <c r="GA63" s="43">
        <v>0</v>
      </c>
      <c r="GB63" s="43">
        <v>0</v>
      </c>
      <c r="GC63" s="43">
        <v>0.42613827993300002</v>
      </c>
      <c r="GD63" s="43">
        <v>0</v>
      </c>
    </row>
    <row r="64" spans="1:186" ht="16.5" x14ac:dyDescent="0.3">
      <c r="A64" s="21" t="s">
        <v>352</v>
      </c>
      <c r="B64" s="57" t="s">
        <v>287</v>
      </c>
      <c r="C64" s="23">
        <v>7.33</v>
      </c>
      <c r="D64" s="23" t="s">
        <v>183</v>
      </c>
      <c r="E64" s="24" t="s">
        <v>243</v>
      </c>
      <c r="F64" s="25" t="s">
        <v>353</v>
      </c>
      <c r="G64" s="26" t="s">
        <v>289</v>
      </c>
      <c r="H64" s="51" t="s">
        <v>243</v>
      </c>
      <c r="I64" s="52">
        <v>7</v>
      </c>
      <c r="J64" s="52">
        <v>125</v>
      </c>
      <c r="K64" s="52">
        <v>25</v>
      </c>
      <c r="L64" s="53">
        <f t="shared" si="19"/>
        <v>16</v>
      </c>
      <c r="M64" s="54">
        <v>62</v>
      </c>
      <c r="N64" s="30" t="s">
        <v>186</v>
      </c>
      <c r="O64" s="30" t="s">
        <v>186</v>
      </c>
      <c r="P64" s="30" t="s">
        <v>186</v>
      </c>
      <c r="Q64" s="30" t="s">
        <v>186</v>
      </c>
      <c r="R64" s="30" t="s">
        <v>186</v>
      </c>
      <c r="S64" s="30" t="s">
        <v>186</v>
      </c>
      <c r="T64" s="30" t="s">
        <v>186</v>
      </c>
      <c r="U64" s="30" t="s">
        <v>186</v>
      </c>
      <c r="V64" s="30" t="s">
        <v>186</v>
      </c>
      <c r="W64" s="30" t="s">
        <v>186</v>
      </c>
      <c r="X64" s="25">
        <v>10321.802658724137</v>
      </c>
      <c r="Y64" s="25">
        <v>2346.1557181001399</v>
      </c>
      <c r="Z64" s="25">
        <v>435.28795317655556</v>
      </c>
      <c r="AA64" s="25">
        <v>8667.355017081125</v>
      </c>
      <c r="AB64" s="25">
        <v>437.44214533719315</v>
      </c>
      <c r="AC64" s="25">
        <v>684.84767598233043</v>
      </c>
      <c r="AD64" s="32">
        <v>70.2</v>
      </c>
      <c r="AE64" s="32">
        <v>54.942500000000003</v>
      </c>
      <c r="AF64" s="23" t="s">
        <v>183</v>
      </c>
      <c r="AG64" s="33">
        <v>136.1</v>
      </c>
      <c r="AH64" s="33">
        <v>18.2</v>
      </c>
      <c r="AI64" s="34">
        <f t="shared" si="20"/>
        <v>40.369213813372525</v>
      </c>
      <c r="AJ64" s="34">
        <f t="shared" si="21"/>
        <v>301.88186813186815</v>
      </c>
      <c r="AK64" s="35">
        <v>136.1</v>
      </c>
      <c r="AL64" s="58">
        <f t="shared" si="22"/>
        <v>40.369213813372525</v>
      </c>
      <c r="AM64" s="37">
        <v>18.2</v>
      </c>
      <c r="AN64" s="59">
        <f t="shared" si="23"/>
        <v>301.88186813186815</v>
      </c>
      <c r="AO64" s="39">
        <v>924809.767857278</v>
      </c>
      <c r="AP64" s="39">
        <v>75362591.627299502</v>
      </c>
      <c r="AQ64" s="39">
        <v>2853336.62635554</v>
      </c>
      <c r="AR64" s="39">
        <v>57886581.293814696</v>
      </c>
      <c r="AT64" s="47">
        <v>5.3962900505899998E-3</v>
      </c>
      <c r="AU64" s="47">
        <v>0.68684654300199999</v>
      </c>
      <c r="AV64" s="47">
        <v>6.2394603709899996E-3</v>
      </c>
      <c r="AW64" s="47">
        <v>2.1922428330500001E-3</v>
      </c>
      <c r="AX64" s="47">
        <v>0</v>
      </c>
      <c r="AY64" s="47">
        <v>0.29595278246200002</v>
      </c>
      <c r="AZ64" s="47">
        <v>0</v>
      </c>
      <c r="BA64" s="47">
        <v>1.85497470489E-3</v>
      </c>
      <c r="BB64" s="47">
        <v>3.37268128162E-4</v>
      </c>
      <c r="BC64" s="47">
        <v>1.18043844857E-3</v>
      </c>
      <c r="BD64" s="47">
        <v>0</v>
      </c>
      <c r="BE64" s="47">
        <v>0</v>
      </c>
      <c r="BF64" s="47">
        <v>0</v>
      </c>
      <c r="BG64" s="48"/>
      <c r="BH64" s="43">
        <v>3.37268128162E-4</v>
      </c>
      <c r="BI64" s="43">
        <v>0</v>
      </c>
      <c r="BJ64" s="43">
        <v>0</v>
      </c>
      <c r="BK64" s="43">
        <v>0</v>
      </c>
      <c r="BL64" s="43">
        <v>0</v>
      </c>
      <c r="BM64" s="43">
        <v>4.55311973019E-3</v>
      </c>
      <c r="BN64" s="43">
        <v>0</v>
      </c>
      <c r="BO64" s="43">
        <v>0</v>
      </c>
      <c r="BP64" s="43">
        <v>0</v>
      </c>
      <c r="BQ64" s="43">
        <v>1.3490725126499999E-3</v>
      </c>
      <c r="BR64" s="43">
        <v>0</v>
      </c>
      <c r="BS64" s="43">
        <v>0</v>
      </c>
      <c r="BT64" s="43">
        <v>0.185160202361</v>
      </c>
      <c r="BU64" s="43">
        <v>0</v>
      </c>
      <c r="BV64" s="43">
        <v>1.60202360877E-2</v>
      </c>
      <c r="BW64" s="43">
        <v>2.5295109612100001E-3</v>
      </c>
      <c r="BX64" s="43">
        <v>8.6340640809400002E-2</v>
      </c>
      <c r="BY64" s="43">
        <v>0</v>
      </c>
      <c r="BZ64" s="43">
        <v>0</v>
      </c>
      <c r="CA64" s="43">
        <v>0</v>
      </c>
      <c r="CB64" s="43">
        <v>0</v>
      </c>
      <c r="CC64" s="43">
        <v>0</v>
      </c>
      <c r="CD64" s="43">
        <v>0</v>
      </c>
      <c r="CE64" s="43">
        <v>1.68634064081E-3</v>
      </c>
      <c r="CF64" s="43">
        <v>0</v>
      </c>
      <c r="CG64" s="43">
        <v>0</v>
      </c>
      <c r="CH64" s="43">
        <v>5.0590219224299997E-4</v>
      </c>
      <c r="CI64" s="43">
        <v>0</v>
      </c>
      <c r="CJ64" s="43">
        <v>0</v>
      </c>
      <c r="CK64" s="43">
        <v>0</v>
      </c>
      <c r="CL64" s="43">
        <v>0</v>
      </c>
      <c r="CM64" s="43">
        <v>0</v>
      </c>
      <c r="CN64" s="43">
        <v>0</v>
      </c>
      <c r="CO64" s="43">
        <v>1.18043844857E-3</v>
      </c>
      <c r="CP64" s="43">
        <v>0</v>
      </c>
      <c r="CQ64" s="43">
        <v>0</v>
      </c>
      <c r="CR64" s="43">
        <v>0</v>
      </c>
      <c r="CS64" s="43">
        <v>1.18043844857E-3</v>
      </c>
      <c r="CT64" s="43">
        <v>0</v>
      </c>
      <c r="CU64" s="43">
        <v>6.74536256324E-4</v>
      </c>
      <c r="CV64" s="43">
        <v>0</v>
      </c>
      <c r="CW64" s="43">
        <v>0</v>
      </c>
      <c r="CX64" s="43">
        <v>0</v>
      </c>
      <c r="CY64" s="43">
        <v>0</v>
      </c>
      <c r="CZ64" s="43">
        <v>0</v>
      </c>
      <c r="DA64" s="43">
        <v>0</v>
      </c>
      <c r="DB64" s="43">
        <v>0</v>
      </c>
      <c r="DC64" s="43">
        <v>5.0590219224299997E-4</v>
      </c>
      <c r="DD64" s="43">
        <v>0.202360876897</v>
      </c>
      <c r="DE64" s="43">
        <v>0</v>
      </c>
      <c r="DF64" s="43">
        <v>0</v>
      </c>
      <c r="DG64" s="43">
        <v>9.1231028667800002E-2</v>
      </c>
      <c r="DH64" s="43">
        <v>0</v>
      </c>
      <c r="DI64" s="43">
        <v>0</v>
      </c>
      <c r="DJ64" s="43">
        <v>0</v>
      </c>
      <c r="DK64" s="43">
        <v>0</v>
      </c>
      <c r="DL64" s="43">
        <v>0</v>
      </c>
      <c r="DM64" s="43">
        <v>0</v>
      </c>
      <c r="DN64" s="43">
        <v>0</v>
      </c>
      <c r="DO64" s="43">
        <v>0</v>
      </c>
      <c r="DP64" s="43">
        <v>6.74536256324E-4</v>
      </c>
      <c r="DQ64" s="43">
        <v>7.2512647554800001E-3</v>
      </c>
      <c r="DR64" s="43">
        <v>0</v>
      </c>
      <c r="DS64" s="43">
        <v>1.48397976391E-2</v>
      </c>
      <c r="DT64" s="43">
        <v>3.87858347386E-3</v>
      </c>
      <c r="DU64" s="43">
        <v>4.4519392917400001E-2</v>
      </c>
      <c r="DV64" s="43">
        <v>0</v>
      </c>
      <c r="DW64" s="43">
        <v>0</v>
      </c>
      <c r="DX64" s="43">
        <v>1.5177065767300001E-3</v>
      </c>
      <c r="DY64" s="43">
        <v>0</v>
      </c>
      <c r="DZ64" s="43">
        <v>2.5969645868500001E-2</v>
      </c>
      <c r="EA64" s="43">
        <v>0</v>
      </c>
      <c r="EB64" s="43">
        <v>7.7234401349099993E-2</v>
      </c>
      <c r="EC64" s="43">
        <v>0</v>
      </c>
      <c r="ED64" s="43">
        <v>0.10236087689700001</v>
      </c>
      <c r="EE64" s="43">
        <v>3.37268128162E-4</v>
      </c>
      <c r="EF64" s="43">
        <v>0</v>
      </c>
      <c r="EG64" s="43">
        <v>9.6121416526100002E-3</v>
      </c>
      <c r="EH64" s="43">
        <v>0</v>
      </c>
      <c r="EI64" s="43">
        <v>0</v>
      </c>
      <c r="EJ64" s="43">
        <v>0</v>
      </c>
      <c r="EK64" s="43">
        <v>0</v>
      </c>
      <c r="EL64" s="43">
        <v>0</v>
      </c>
      <c r="EM64" s="43">
        <v>0</v>
      </c>
      <c r="EN64" s="43">
        <v>0</v>
      </c>
      <c r="EO64" s="43">
        <v>0</v>
      </c>
      <c r="EP64" s="43">
        <v>3.37268128162E-4</v>
      </c>
      <c r="EQ64" s="43">
        <v>0</v>
      </c>
      <c r="ER64" s="43">
        <v>0</v>
      </c>
      <c r="ES64" s="43">
        <v>0</v>
      </c>
      <c r="ET64" s="43">
        <v>0</v>
      </c>
      <c r="EU64" s="43">
        <v>0</v>
      </c>
      <c r="EV64" s="43">
        <v>0</v>
      </c>
      <c r="EW64" s="43">
        <v>0</v>
      </c>
      <c r="EX64" s="43">
        <v>0</v>
      </c>
      <c r="EY64" s="43">
        <v>3.2715008431699999E-2</v>
      </c>
      <c r="EZ64" s="43">
        <v>0</v>
      </c>
      <c r="FA64" s="43">
        <v>0</v>
      </c>
      <c r="FB64" s="43">
        <v>6.9645868465399996E-2</v>
      </c>
      <c r="FC64" s="43">
        <v>0</v>
      </c>
      <c r="FD64" s="43">
        <v>0</v>
      </c>
      <c r="FE64" s="43">
        <v>0</v>
      </c>
      <c r="FF64" s="43">
        <v>0</v>
      </c>
      <c r="FG64" s="43">
        <v>0</v>
      </c>
      <c r="FH64" s="43">
        <v>0</v>
      </c>
      <c r="FI64" s="43">
        <v>0</v>
      </c>
      <c r="FJ64" s="43">
        <v>0</v>
      </c>
      <c r="FK64" s="43">
        <v>0</v>
      </c>
      <c r="FL64" s="43">
        <v>0</v>
      </c>
      <c r="FM64" s="43">
        <v>0</v>
      </c>
      <c r="FN64" s="43">
        <v>0</v>
      </c>
      <c r="FO64" s="43">
        <v>0</v>
      </c>
      <c r="FP64" s="43">
        <v>0</v>
      </c>
      <c r="FQ64" s="43">
        <v>1.5177065767300001E-3</v>
      </c>
      <c r="FR64" s="43">
        <v>3.87858347386E-3</v>
      </c>
      <c r="FS64" s="43">
        <v>0</v>
      </c>
      <c r="FT64" s="43">
        <v>0</v>
      </c>
      <c r="FU64" s="43">
        <v>0</v>
      </c>
      <c r="FV64" s="43">
        <v>8.4317032040500002E-4</v>
      </c>
      <c r="FW64" s="43">
        <v>0</v>
      </c>
      <c r="FX64" s="43">
        <v>0</v>
      </c>
      <c r="FY64" s="43">
        <v>0</v>
      </c>
      <c r="FZ64" s="43">
        <v>0</v>
      </c>
      <c r="GA64" s="43">
        <v>0</v>
      </c>
      <c r="GB64" s="43">
        <v>1.85497470489E-3</v>
      </c>
      <c r="GC64" s="43">
        <v>5.3962900505899998E-3</v>
      </c>
      <c r="GD64" s="43">
        <v>0</v>
      </c>
    </row>
    <row r="65" spans="1:186" ht="16.5" x14ac:dyDescent="0.3">
      <c r="A65" s="21" t="s">
        <v>354</v>
      </c>
      <c r="B65" s="57" t="s">
        <v>287</v>
      </c>
      <c r="C65" s="23">
        <v>11.67</v>
      </c>
      <c r="D65" s="23" t="s">
        <v>195</v>
      </c>
      <c r="E65" s="24" t="s">
        <v>243</v>
      </c>
      <c r="F65" s="25" t="s">
        <v>355</v>
      </c>
      <c r="G65" s="26" t="s">
        <v>289</v>
      </c>
      <c r="H65" s="51" t="s">
        <v>243</v>
      </c>
      <c r="I65" s="52">
        <v>12</v>
      </c>
      <c r="J65" s="62"/>
      <c r="K65" s="62"/>
      <c r="L65" s="53"/>
      <c r="M65" s="54"/>
      <c r="N65" s="30" t="s">
        <v>186</v>
      </c>
      <c r="O65" s="30" t="s">
        <v>186</v>
      </c>
      <c r="P65" s="30" t="s">
        <v>186</v>
      </c>
      <c r="Q65" s="30" t="s">
        <v>186</v>
      </c>
      <c r="R65" s="30" t="s">
        <v>186</v>
      </c>
      <c r="S65" s="30" t="s">
        <v>186</v>
      </c>
      <c r="T65" s="30" t="s">
        <v>186</v>
      </c>
      <c r="U65" s="30" t="s">
        <v>186</v>
      </c>
      <c r="V65" s="30" t="s">
        <v>186</v>
      </c>
      <c r="W65" s="30" t="s">
        <v>186</v>
      </c>
      <c r="X65" s="25">
        <v>6601.8124039004633</v>
      </c>
      <c r="Y65" s="25">
        <v>4122.6648231126683</v>
      </c>
      <c r="Z65" s="25">
        <v>817.41477203265606</v>
      </c>
      <c r="AA65" s="25">
        <v>2972.991489066856</v>
      </c>
      <c r="AB65" s="25">
        <v>1402.9445451346426</v>
      </c>
      <c r="AC65" s="25">
        <v>1772.8924086743725</v>
      </c>
      <c r="AD65" s="32">
        <v>69.349999999999994</v>
      </c>
      <c r="AE65" s="32">
        <v>97.125</v>
      </c>
      <c r="AF65" s="23" t="s">
        <v>195</v>
      </c>
      <c r="AG65" s="33">
        <v>58.1</v>
      </c>
      <c r="AH65" s="33">
        <v>13.9</v>
      </c>
      <c r="AI65" s="34">
        <f t="shared" si="20"/>
        <v>167.16867469879517</v>
      </c>
      <c r="AJ65" s="34">
        <f t="shared" si="21"/>
        <v>698.7410071942445</v>
      </c>
      <c r="AK65" s="35">
        <v>58.1</v>
      </c>
      <c r="AL65" s="58">
        <f t="shared" si="22"/>
        <v>167.16867469879517</v>
      </c>
      <c r="AM65" s="37">
        <v>13.9</v>
      </c>
      <c r="AN65" s="59">
        <f t="shared" si="23"/>
        <v>698.7410071942445</v>
      </c>
      <c r="AO65" s="39">
        <v>3286699.0565674701</v>
      </c>
      <c r="AP65" s="39">
        <v>94964049.729285002</v>
      </c>
      <c r="AQ65" s="39">
        <v>2224629.5623080898</v>
      </c>
      <c r="AR65" s="39">
        <v>4488920.2522757696</v>
      </c>
      <c r="AT65" s="47">
        <v>4.3844856661000003E-3</v>
      </c>
      <c r="AU65" s="47">
        <v>0.491568296796</v>
      </c>
      <c r="AV65" s="47">
        <v>1.6188870151800001E-2</v>
      </c>
      <c r="AW65" s="47">
        <v>6.74536256324E-4</v>
      </c>
      <c r="AX65" s="47">
        <v>6.74536256324E-4</v>
      </c>
      <c r="AY65" s="47">
        <v>0.48650927487399998</v>
      </c>
      <c r="AZ65" s="47">
        <v>0</v>
      </c>
      <c r="BA65" s="47">
        <v>0</v>
      </c>
      <c r="BB65" s="47">
        <v>0</v>
      </c>
      <c r="BC65" s="47">
        <v>0</v>
      </c>
      <c r="BD65" s="47">
        <v>0</v>
      </c>
      <c r="BE65" s="47">
        <v>0</v>
      </c>
      <c r="BF65" s="47">
        <v>0</v>
      </c>
      <c r="BG65" s="48"/>
      <c r="BH65" s="43">
        <v>0</v>
      </c>
      <c r="BI65" s="43">
        <v>0</v>
      </c>
      <c r="BJ65" s="43">
        <v>0</v>
      </c>
      <c r="BK65" s="43">
        <v>0</v>
      </c>
      <c r="BL65" s="43">
        <v>0</v>
      </c>
      <c r="BM65" s="43">
        <v>0</v>
      </c>
      <c r="BN65" s="43">
        <v>0</v>
      </c>
      <c r="BO65" s="43">
        <v>0</v>
      </c>
      <c r="BP65" s="43">
        <v>0</v>
      </c>
      <c r="BQ65" s="43">
        <v>0</v>
      </c>
      <c r="BR65" s="43">
        <v>0</v>
      </c>
      <c r="BS65" s="43">
        <v>0</v>
      </c>
      <c r="BT65" s="43">
        <v>0.38347386171999998</v>
      </c>
      <c r="BU65" s="43">
        <v>0</v>
      </c>
      <c r="BV65" s="43">
        <v>0</v>
      </c>
      <c r="BW65" s="43">
        <v>7.0826306914000001E-3</v>
      </c>
      <c r="BX65" s="43">
        <v>9.1736930859999996E-2</v>
      </c>
      <c r="BY65" s="43">
        <v>4.2158516020200003E-3</v>
      </c>
      <c r="BZ65" s="43">
        <v>0</v>
      </c>
      <c r="CA65" s="43">
        <v>0</v>
      </c>
      <c r="CB65" s="43">
        <v>0</v>
      </c>
      <c r="CC65" s="43">
        <v>0</v>
      </c>
      <c r="CD65" s="43">
        <v>0</v>
      </c>
      <c r="CE65" s="43">
        <v>0</v>
      </c>
      <c r="CF65" s="43">
        <v>0</v>
      </c>
      <c r="CG65" s="43">
        <v>0</v>
      </c>
      <c r="CH65" s="43">
        <v>6.74536256324E-4</v>
      </c>
      <c r="CI65" s="43">
        <v>0</v>
      </c>
      <c r="CJ65" s="43">
        <v>0</v>
      </c>
      <c r="CK65" s="43">
        <v>0</v>
      </c>
      <c r="CL65" s="43">
        <v>0</v>
      </c>
      <c r="CM65" s="43">
        <v>0</v>
      </c>
      <c r="CN65" s="43">
        <v>0</v>
      </c>
      <c r="CO65" s="43">
        <v>0</v>
      </c>
      <c r="CP65" s="43">
        <v>0</v>
      </c>
      <c r="CQ65" s="43">
        <v>0</v>
      </c>
      <c r="CR65" s="43">
        <v>0</v>
      </c>
      <c r="CS65" s="43">
        <v>0</v>
      </c>
      <c r="CT65" s="43">
        <v>0</v>
      </c>
      <c r="CU65" s="43">
        <v>0</v>
      </c>
      <c r="CV65" s="43">
        <v>0</v>
      </c>
      <c r="CW65" s="43">
        <v>0</v>
      </c>
      <c r="CX65" s="43">
        <v>0</v>
      </c>
      <c r="CY65" s="43">
        <v>0</v>
      </c>
      <c r="CZ65" s="43">
        <v>1.6694772343999999E-2</v>
      </c>
      <c r="DA65" s="43">
        <v>0</v>
      </c>
      <c r="DB65" s="43">
        <v>5.0590219224299997E-4</v>
      </c>
      <c r="DC65" s="43">
        <v>1.14671163575E-2</v>
      </c>
      <c r="DD65" s="43">
        <v>3.5919055649199998E-2</v>
      </c>
      <c r="DE65" s="43">
        <v>0</v>
      </c>
      <c r="DF65" s="43">
        <v>0</v>
      </c>
      <c r="DG65" s="43">
        <v>5.88532883642E-2</v>
      </c>
      <c r="DH65" s="43">
        <v>0</v>
      </c>
      <c r="DI65" s="43">
        <v>0</v>
      </c>
      <c r="DJ65" s="43">
        <v>3.7942664418200003E-2</v>
      </c>
      <c r="DK65" s="43">
        <v>1.5177065767300001E-3</v>
      </c>
      <c r="DL65" s="43">
        <v>0</v>
      </c>
      <c r="DM65" s="43">
        <v>0</v>
      </c>
      <c r="DN65" s="43">
        <v>0</v>
      </c>
      <c r="DO65" s="43">
        <v>0</v>
      </c>
      <c r="DP65" s="43">
        <v>0</v>
      </c>
      <c r="DQ65" s="43">
        <v>1.39966273187E-2</v>
      </c>
      <c r="DR65" s="43">
        <v>8.0944350758899997E-3</v>
      </c>
      <c r="DS65" s="43">
        <v>5.3456998313700002E-2</v>
      </c>
      <c r="DT65" s="43">
        <v>0</v>
      </c>
      <c r="DU65" s="43">
        <v>2.95109612142E-2</v>
      </c>
      <c r="DV65" s="43">
        <v>5.0590219224299997E-4</v>
      </c>
      <c r="DW65" s="43">
        <v>0</v>
      </c>
      <c r="DX65" s="43">
        <v>0</v>
      </c>
      <c r="DY65" s="43">
        <v>0</v>
      </c>
      <c r="DZ65" s="43">
        <v>8.4317032040500002E-4</v>
      </c>
      <c r="EA65" s="43">
        <v>0</v>
      </c>
      <c r="EB65" s="43">
        <v>0.124283305228</v>
      </c>
      <c r="EC65" s="43">
        <v>0</v>
      </c>
      <c r="ED65" s="43">
        <v>1.85497470489E-3</v>
      </c>
      <c r="EE65" s="43">
        <v>0</v>
      </c>
      <c r="EF65" s="43">
        <v>1.5177065767300001E-3</v>
      </c>
      <c r="EG65" s="43">
        <v>1.8043844856699999E-2</v>
      </c>
      <c r="EH65" s="43">
        <v>0</v>
      </c>
      <c r="EI65" s="43">
        <v>7.0826306914000001E-3</v>
      </c>
      <c r="EJ65" s="43">
        <v>0</v>
      </c>
      <c r="EK65" s="43">
        <v>0</v>
      </c>
      <c r="EL65" s="43">
        <v>0</v>
      </c>
      <c r="EM65" s="43">
        <v>0</v>
      </c>
      <c r="EN65" s="43">
        <v>0</v>
      </c>
      <c r="EO65" s="43">
        <v>0</v>
      </c>
      <c r="EP65" s="43">
        <v>3.2040472175400001E-3</v>
      </c>
      <c r="EQ65" s="43">
        <v>0</v>
      </c>
      <c r="ER65" s="43">
        <v>0</v>
      </c>
      <c r="ES65" s="43">
        <v>0</v>
      </c>
      <c r="ET65" s="43">
        <v>0</v>
      </c>
      <c r="EU65" s="43">
        <v>0</v>
      </c>
      <c r="EV65" s="43">
        <v>0</v>
      </c>
      <c r="EW65" s="43">
        <v>0</v>
      </c>
      <c r="EX65" s="43">
        <v>0</v>
      </c>
      <c r="EY65" s="43">
        <v>6.62731871838E-2</v>
      </c>
      <c r="EZ65" s="43">
        <v>0</v>
      </c>
      <c r="FA65" s="43">
        <v>0</v>
      </c>
      <c r="FB65" s="43">
        <v>0</v>
      </c>
      <c r="FC65" s="43">
        <v>0</v>
      </c>
      <c r="FD65" s="43">
        <v>0</v>
      </c>
      <c r="FE65" s="43">
        <v>0</v>
      </c>
      <c r="FF65" s="43">
        <v>0</v>
      </c>
      <c r="FG65" s="43">
        <v>0</v>
      </c>
      <c r="FH65" s="43">
        <v>0</v>
      </c>
      <c r="FI65" s="43">
        <v>0</v>
      </c>
      <c r="FJ65" s="43">
        <v>0</v>
      </c>
      <c r="FK65" s="43">
        <v>0</v>
      </c>
      <c r="FL65" s="43">
        <v>0</v>
      </c>
      <c r="FM65" s="43">
        <v>0</v>
      </c>
      <c r="FN65" s="43">
        <v>0</v>
      </c>
      <c r="FO65" s="43">
        <v>1.28161888702E-2</v>
      </c>
      <c r="FP65" s="43">
        <v>3.3726812816200001E-3</v>
      </c>
      <c r="FQ65" s="43">
        <v>0</v>
      </c>
      <c r="FR65" s="43">
        <v>0</v>
      </c>
      <c r="FS65" s="43">
        <v>0</v>
      </c>
      <c r="FT65" s="43">
        <v>0</v>
      </c>
      <c r="FU65" s="43">
        <v>0</v>
      </c>
      <c r="FV65" s="43">
        <v>0</v>
      </c>
      <c r="FW65" s="43">
        <v>0</v>
      </c>
      <c r="FX65" s="43">
        <v>0</v>
      </c>
      <c r="FY65" s="43">
        <v>0</v>
      </c>
      <c r="FZ65" s="43">
        <v>6.74536256324E-4</v>
      </c>
      <c r="GA65" s="43">
        <v>0</v>
      </c>
      <c r="GB65" s="43">
        <v>0</v>
      </c>
      <c r="GC65" s="43">
        <v>4.3844856661000003E-3</v>
      </c>
      <c r="GD65" s="43">
        <v>0</v>
      </c>
    </row>
    <row r="66" spans="1:186" ht="16.5" x14ac:dyDescent="0.3">
      <c r="A66" s="21" t="s">
        <v>356</v>
      </c>
      <c r="B66" s="57" t="s">
        <v>287</v>
      </c>
      <c r="C66" s="23">
        <v>18</v>
      </c>
      <c r="D66" s="23" t="s">
        <v>195</v>
      </c>
      <c r="E66" s="24" t="s">
        <v>184</v>
      </c>
      <c r="F66" s="25" t="s">
        <v>357</v>
      </c>
      <c r="G66" s="26" t="s">
        <v>289</v>
      </c>
      <c r="H66" s="26" t="s">
        <v>184</v>
      </c>
      <c r="I66" s="27">
        <v>18</v>
      </c>
      <c r="J66" s="27">
        <v>195</v>
      </c>
      <c r="K66" s="27">
        <v>75</v>
      </c>
      <c r="L66" s="28">
        <f t="shared" ref="L66:L76" si="24">K66/(J66/100)^2</f>
        <v>19.723865877712033</v>
      </c>
      <c r="M66" s="29">
        <v>19</v>
      </c>
      <c r="N66" s="30" t="s">
        <v>186</v>
      </c>
      <c r="O66" s="30" t="s">
        <v>186</v>
      </c>
      <c r="P66" s="30" t="s">
        <v>186</v>
      </c>
      <c r="Q66" s="30" t="s">
        <v>186</v>
      </c>
      <c r="R66" s="30" t="s">
        <v>186</v>
      </c>
      <c r="S66" s="30" t="s">
        <v>186</v>
      </c>
      <c r="T66" s="30" t="s">
        <v>186</v>
      </c>
      <c r="U66" s="30" t="s">
        <v>186</v>
      </c>
      <c r="V66" s="30" t="s">
        <v>186</v>
      </c>
      <c r="W66" s="30" t="s">
        <v>186</v>
      </c>
      <c r="X66" s="25">
        <v>3303.8141338947848</v>
      </c>
      <c r="Y66" s="25">
        <v>1116.0263298235643</v>
      </c>
      <c r="Z66" s="25">
        <v>676.45873569598291</v>
      </c>
      <c r="AA66" s="25">
        <v>2678.5270877574908</v>
      </c>
      <c r="AB66" s="25">
        <v>1014.0648025632736</v>
      </c>
      <c r="AC66" s="25">
        <v>722.94143697250161</v>
      </c>
      <c r="AD66" s="32">
        <v>302.75</v>
      </c>
      <c r="AE66" s="32">
        <v>54.625</v>
      </c>
      <c r="AF66" s="23" t="s">
        <v>195</v>
      </c>
      <c r="AG66" s="33">
        <v>54.4</v>
      </c>
      <c r="AH66" s="33">
        <v>13.9</v>
      </c>
      <c r="AI66" s="34">
        <f t="shared" si="20"/>
        <v>100.41360294117648</v>
      </c>
      <c r="AJ66" s="34">
        <f t="shared" si="21"/>
        <v>392.98561151079133</v>
      </c>
      <c r="AK66" s="35">
        <v>54.4</v>
      </c>
      <c r="AL66" s="58">
        <f t="shared" si="22"/>
        <v>100.41360294117648</v>
      </c>
      <c r="AM66" s="37">
        <v>13.9</v>
      </c>
      <c r="AN66" s="59">
        <f t="shared" si="23"/>
        <v>392.98561151079133</v>
      </c>
      <c r="AO66" s="39">
        <v>1988733.30100594</v>
      </c>
      <c r="AP66" s="39">
        <v>55906366.612570398</v>
      </c>
      <c r="AQ66" s="39">
        <v>8169344.1599973701</v>
      </c>
      <c r="AR66" s="39">
        <v>1345421.4599477099</v>
      </c>
      <c r="AT66" s="47">
        <v>0</v>
      </c>
      <c r="AU66" s="47">
        <v>0.67521079258000005</v>
      </c>
      <c r="AV66" s="47">
        <v>4.2158516020200003E-3</v>
      </c>
      <c r="AW66" s="47">
        <v>6.74536256324E-4</v>
      </c>
      <c r="AX66" s="47">
        <v>0</v>
      </c>
      <c r="AY66" s="47">
        <v>0.319898819562</v>
      </c>
      <c r="AZ66" s="47">
        <v>0</v>
      </c>
      <c r="BA66" s="47">
        <v>0</v>
      </c>
      <c r="BB66" s="47">
        <v>0</v>
      </c>
      <c r="BC66" s="47">
        <v>0</v>
      </c>
      <c r="BD66" s="47">
        <v>0</v>
      </c>
      <c r="BE66" s="47">
        <v>0</v>
      </c>
      <c r="BF66" s="47">
        <v>0</v>
      </c>
      <c r="BG66" s="48"/>
      <c r="BH66" s="43">
        <v>0</v>
      </c>
      <c r="BI66" s="43">
        <v>0</v>
      </c>
      <c r="BJ66" s="43">
        <v>0</v>
      </c>
      <c r="BK66" s="43">
        <v>0</v>
      </c>
      <c r="BL66" s="43">
        <v>0</v>
      </c>
      <c r="BM66" s="43">
        <v>7.58853288364E-3</v>
      </c>
      <c r="BN66" s="43">
        <v>0</v>
      </c>
      <c r="BO66" s="43">
        <v>0</v>
      </c>
      <c r="BP66" s="43">
        <v>0</v>
      </c>
      <c r="BQ66" s="43">
        <v>0</v>
      </c>
      <c r="BR66" s="43">
        <v>0</v>
      </c>
      <c r="BS66" s="43">
        <v>0</v>
      </c>
      <c r="BT66" s="43">
        <v>0.23541315345700001</v>
      </c>
      <c r="BU66" s="43">
        <v>0</v>
      </c>
      <c r="BV66" s="43">
        <v>0</v>
      </c>
      <c r="BW66" s="43">
        <v>0</v>
      </c>
      <c r="BX66" s="43">
        <v>0</v>
      </c>
      <c r="BY66" s="43">
        <v>7.6897133220899999E-2</v>
      </c>
      <c r="BZ66" s="43">
        <v>0</v>
      </c>
      <c r="CA66" s="43">
        <v>0</v>
      </c>
      <c r="CB66" s="43">
        <v>6.74536256324E-4</v>
      </c>
      <c r="CC66" s="43">
        <v>0</v>
      </c>
      <c r="CD66" s="43">
        <v>0</v>
      </c>
      <c r="CE66" s="43">
        <v>0</v>
      </c>
      <c r="CF66" s="43">
        <v>0</v>
      </c>
      <c r="CG66" s="43">
        <v>0</v>
      </c>
      <c r="CH66" s="43">
        <v>0</v>
      </c>
      <c r="CI66" s="43">
        <v>0</v>
      </c>
      <c r="CJ66" s="43">
        <v>0</v>
      </c>
      <c r="CK66" s="43">
        <v>0</v>
      </c>
      <c r="CL66" s="43">
        <v>0</v>
      </c>
      <c r="CM66" s="43">
        <v>0</v>
      </c>
      <c r="CN66" s="43">
        <v>0</v>
      </c>
      <c r="CO66" s="43">
        <v>0</v>
      </c>
      <c r="CP66" s="43">
        <v>0</v>
      </c>
      <c r="CQ66" s="43">
        <v>0</v>
      </c>
      <c r="CR66" s="43">
        <v>0</v>
      </c>
      <c r="CS66" s="43">
        <v>6.74536256324E-4</v>
      </c>
      <c r="CT66" s="43">
        <v>0</v>
      </c>
      <c r="CU66" s="43">
        <v>0</v>
      </c>
      <c r="CV66" s="43">
        <v>0</v>
      </c>
      <c r="CW66" s="43">
        <v>0</v>
      </c>
      <c r="CX66" s="43">
        <v>0</v>
      </c>
      <c r="CY66" s="43">
        <v>0</v>
      </c>
      <c r="CZ66" s="43">
        <v>0</v>
      </c>
      <c r="DA66" s="43">
        <v>0</v>
      </c>
      <c r="DB66" s="43">
        <v>0</v>
      </c>
      <c r="DC66" s="43">
        <v>0</v>
      </c>
      <c r="DD66" s="43">
        <v>5.5649241146700001E-2</v>
      </c>
      <c r="DE66" s="43">
        <v>0</v>
      </c>
      <c r="DF66" s="43">
        <v>0</v>
      </c>
      <c r="DG66" s="43">
        <v>1.68634064081E-3</v>
      </c>
      <c r="DH66" s="43">
        <v>0</v>
      </c>
      <c r="DI66" s="43">
        <v>0</v>
      </c>
      <c r="DJ66" s="43">
        <v>0</v>
      </c>
      <c r="DK66" s="43">
        <v>0</v>
      </c>
      <c r="DL66" s="43">
        <v>0</v>
      </c>
      <c r="DM66" s="43">
        <v>0</v>
      </c>
      <c r="DN66" s="43">
        <v>0</v>
      </c>
      <c r="DO66" s="43">
        <v>0</v>
      </c>
      <c r="DP66" s="43">
        <v>0</v>
      </c>
      <c r="DQ66" s="43">
        <v>5.16020236088E-2</v>
      </c>
      <c r="DR66" s="43">
        <v>0</v>
      </c>
      <c r="DS66" s="43">
        <v>0.33001686340600001</v>
      </c>
      <c r="DT66" s="43">
        <v>0</v>
      </c>
      <c r="DU66" s="43">
        <v>2.0236087689700002E-3</v>
      </c>
      <c r="DV66" s="43">
        <v>0</v>
      </c>
      <c r="DW66" s="43">
        <v>0</v>
      </c>
      <c r="DX66" s="43">
        <v>0</v>
      </c>
      <c r="DY66" s="43">
        <v>0</v>
      </c>
      <c r="DZ66" s="43">
        <v>0.148229342327</v>
      </c>
      <c r="EA66" s="43">
        <v>0</v>
      </c>
      <c r="EB66" s="43">
        <v>0</v>
      </c>
      <c r="EC66" s="43">
        <v>0</v>
      </c>
      <c r="ED66" s="43">
        <v>1.53456998314E-2</v>
      </c>
      <c r="EE66" s="43">
        <v>0</v>
      </c>
      <c r="EF66" s="43">
        <v>8.2630691399700005E-3</v>
      </c>
      <c r="EG66" s="43">
        <v>2.3608768971300001E-3</v>
      </c>
      <c r="EH66" s="43">
        <v>0</v>
      </c>
      <c r="EI66" s="43">
        <v>0</v>
      </c>
      <c r="EJ66" s="43">
        <v>0</v>
      </c>
      <c r="EK66" s="43">
        <v>0</v>
      </c>
      <c r="EL66" s="43">
        <v>0</v>
      </c>
      <c r="EM66" s="43">
        <v>0</v>
      </c>
      <c r="EN66" s="43">
        <v>0</v>
      </c>
      <c r="EO66" s="43">
        <v>0</v>
      </c>
      <c r="EP66" s="43">
        <v>5.0590219224299997E-4</v>
      </c>
      <c r="EQ66" s="43">
        <v>0</v>
      </c>
      <c r="ER66" s="43">
        <v>8.4317032040500002E-4</v>
      </c>
      <c r="ES66" s="43">
        <v>0</v>
      </c>
      <c r="ET66" s="43">
        <v>0</v>
      </c>
      <c r="EU66" s="43">
        <v>0</v>
      </c>
      <c r="EV66" s="43">
        <v>0</v>
      </c>
      <c r="EW66" s="43">
        <v>0</v>
      </c>
      <c r="EX66" s="43">
        <v>0</v>
      </c>
      <c r="EY66" s="43">
        <v>3.6256323777399999E-2</v>
      </c>
      <c r="EZ66" s="43">
        <v>0</v>
      </c>
      <c r="FA66" s="43">
        <v>0</v>
      </c>
      <c r="FB66" s="43">
        <v>0</v>
      </c>
      <c r="FC66" s="43">
        <v>0</v>
      </c>
      <c r="FD66" s="43">
        <v>0</v>
      </c>
      <c r="FE66" s="43">
        <v>2.1753794266399999E-2</v>
      </c>
      <c r="FF66" s="43">
        <v>0</v>
      </c>
      <c r="FG66" s="43">
        <v>0</v>
      </c>
      <c r="FH66" s="43">
        <v>0</v>
      </c>
      <c r="FI66" s="43">
        <v>0</v>
      </c>
      <c r="FJ66" s="43">
        <v>0</v>
      </c>
      <c r="FK66" s="43">
        <v>0</v>
      </c>
      <c r="FL66" s="43">
        <v>0</v>
      </c>
      <c r="FM66" s="43">
        <v>0</v>
      </c>
      <c r="FN66" s="43">
        <v>0</v>
      </c>
      <c r="FO66" s="43">
        <v>4.2158516020200003E-3</v>
      </c>
      <c r="FP66" s="43">
        <v>0</v>
      </c>
      <c r="FQ66" s="43">
        <v>0</v>
      </c>
      <c r="FR66" s="43">
        <v>0</v>
      </c>
      <c r="FS66" s="43">
        <v>0</v>
      </c>
      <c r="FT66" s="43">
        <v>0</v>
      </c>
      <c r="FU66" s="43">
        <v>0</v>
      </c>
      <c r="FV66" s="43">
        <v>0</v>
      </c>
      <c r="FW66" s="43">
        <v>0</v>
      </c>
      <c r="FX66" s="43">
        <v>0</v>
      </c>
      <c r="FY66" s="43">
        <v>0</v>
      </c>
      <c r="FZ66" s="43">
        <v>0</v>
      </c>
      <c r="GA66" s="43">
        <v>0</v>
      </c>
      <c r="GB66" s="43">
        <v>0</v>
      </c>
      <c r="GC66" s="43">
        <v>0</v>
      </c>
      <c r="GD66" s="43">
        <v>0</v>
      </c>
    </row>
    <row r="67" spans="1:186" ht="16.5" x14ac:dyDescent="0.3">
      <c r="A67" s="21" t="s">
        <v>358</v>
      </c>
      <c r="B67" s="57" t="s">
        <v>287</v>
      </c>
      <c r="C67" s="23">
        <v>7</v>
      </c>
      <c r="D67" s="23" t="s">
        <v>183</v>
      </c>
      <c r="E67" s="24" t="s">
        <v>243</v>
      </c>
      <c r="F67" s="25" t="s">
        <v>359</v>
      </c>
      <c r="G67" s="26" t="s">
        <v>289</v>
      </c>
      <c r="H67" s="51" t="s">
        <v>243</v>
      </c>
      <c r="I67" s="52">
        <v>7</v>
      </c>
      <c r="J67" s="52">
        <v>128</v>
      </c>
      <c r="K67" s="52">
        <v>20</v>
      </c>
      <c r="L67" s="53">
        <f t="shared" si="24"/>
        <v>12.20703125</v>
      </c>
      <c r="M67" s="54">
        <v>1</v>
      </c>
      <c r="N67" s="30" t="s">
        <v>186</v>
      </c>
      <c r="O67" s="30" t="s">
        <v>186</v>
      </c>
      <c r="P67" s="30" t="s">
        <v>186</v>
      </c>
      <c r="Q67" s="30" t="s">
        <v>186</v>
      </c>
      <c r="R67" s="30" t="s">
        <v>186</v>
      </c>
      <c r="S67" s="30" t="s">
        <v>186</v>
      </c>
      <c r="T67" s="30" t="s">
        <v>186</v>
      </c>
      <c r="U67" s="30" t="s">
        <v>186</v>
      </c>
      <c r="V67" s="30" t="s">
        <v>186</v>
      </c>
      <c r="W67" s="30" t="s">
        <v>186</v>
      </c>
      <c r="X67" s="25">
        <v>10309.748253125093</v>
      </c>
      <c r="Y67" s="25">
        <v>1595.8574678632581</v>
      </c>
      <c r="Z67" s="25">
        <v>621.31507546387081</v>
      </c>
      <c r="AA67" s="25">
        <v>3108.2696759904393</v>
      </c>
      <c r="AB67" s="25">
        <v>855.53541384109167</v>
      </c>
      <c r="AC67" s="25">
        <v>779.10889136849858</v>
      </c>
      <c r="AD67" s="32">
        <v>280.55</v>
      </c>
      <c r="AE67" s="32">
        <v>289.0025</v>
      </c>
      <c r="AF67" s="23" t="s">
        <v>183</v>
      </c>
      <c r="AG67" s="33">
        <v>145.1</v>
      </c>
      <c r="AH67" s="33">
        <v>18.2</v>
      </c>
      <c r="AI67" s="34">
        <f t="shared" si="20"/>
        <v>199.17470709855274</v>
      </c>
      <c r="AJ67" s="34">
        <f t="shared" si="21"/>
        <v>1587.9258241758241</v>
      </c>
      <c r="AK67" s="35">
        <v>145.1</v>
      </c>
      <c r="AL67" s="58">
        <f t="shared" si="22"/>
        <v>199.17470709855274</v>
      </c>
      <c r="AM67" s="37">
        <v>18.2</v>
      </c>
      <c r="AN67" s="59">
        <f t="shared" si="23"/>
        <v>1587.9258241758241</v>
      </c>
      <c r="AO67" s="39">
        <v>7758383.6614170298</v>
      </c>
      <c r="AP67" s="39">
        <v>7689318.4063480701</v>
      </c>
      <c r="AQ67" s="39">
        <v>6739739.0458037099</v>
      </c>
      <c r="AR67" s="39">
        <v>6977774.6484364802</v>
      </c>
      <c r="AT67" s="47">
        <v>3.5244519392899999E-2</v>
      </c>
      <c r="AU67" s="47">
        <v>0.44097807757200003</v>
      </c>
      <c r="AV67" s="47">
        <v>0</v>
      </c>
      <c r="AW67" s="47">
        <v>7.7571669477199999E-3</v>
      </c>
      <c r="AX67" s="47">
        <v>0</v>
      </c>
      <c r="AY67" s="47">
        <v>0.51602023608799996</v>
      </c>
      <c r="AZ67" s="47">
        <v>0</v>
      </c>
      <c r="BA67" s="47">
        <v>0</v>
      </c>
      <c r="BB67" s="47">
        <v>0</v>
      </c>
      <c r="BC67" s="47">
        <v>0</v>
      </c>
      <c r="BD67" s="47">
        <v>0</v>
      </c>
      <c r="BE67" s="47">
        <v>0</v>
      </c>
      <c r="BF67" s="47">
        <v>0</v>
      </c>
      <c r="BG67" s="48"/>
      <c r="BH67" s="43">
        <v>0</v>
      </c>
      <c r="BI67" s="43">
        <v>0</v>
      </c>
      <c r="BJ67" s="43">
        <v>0</v>
      </c>
      <c r="BK67" s="43">
        <v>0</v>
      </c>
      <c r="BL67" s="43">
        <v>0</v>
      </c>
      <c r="BM67" s="43">
        <v>1.5177065767300001E-3</v>
      </c>
      <c r="BN67" s="43">
        <v>0</v>
      </c>
      <c r="BO67" s="43">
        <v>1.3490725126499999E-3</v>
      </c>
      <c r="BP67" s="43">
        <v>0</v>
      </c>
      <c r="BQ67" s="43">
        <v>0</v>
      </c>
      <c r="BR67" s="43">
        <v>0</v>
      </c>
      <c r="BS67" s="43">
        <v>0</v>
      </c>
      <c r="BT67" s="43">
        <v>0.43996627318699999</v>
      </c>
      <c r="BU67" s="43">
        <v>1.0623946037100001E-2</v>
      </c>
      <c r="BV67" s="43">
        <v>0</v>
      </c>
      <c r="BW67" s="43">
        <v>0</v>
      </c>
      <c r="BX67" s="43">
        <v>6.2563237773999997E-2</v>
      </c>
      <c r="BY67" s="43">
        <v>0</v>
      </c>
      <c r="BZ67" s="43">
        <v>0</v>
      </c>
      <c r="CA67" s="43">
        <v>6.74536256324E-4</v>
      </c>
      <c r="CB67" s="43">
        <v>6.7453625632400002E-3</v>
      </c>
      <c r="CC67" s="43">
        <v>0</v>
      </c>
      <c r="CD67" s="43">
        <v>3.37268128162E-4</v>
      </c>
      <c r="CE67" s="43">
        <v>0</v>
      </c>
      <c r="CF67" s="43">
        <v>0</v>
      </c>
      <c r="CG67" s="43">
        <v>0</v>
      </c>
      <c r="CH67" s="43">
        <v>0</v>
      </c>
      <c r="CI67" s="43">
        <v>0</v>
      </c>
      <c r="CJ67" s="43">
        <v>0</v>
      </c>
      <c r="CK67" s="43">
        <v>0</v>
      </c>
      <c r="CL67" s="43">
        <v>0</v>
      </c>
      <c r="CM67" s="43">
        <v>0</v>
      </c>
      <c r="CN67" s="43">
        <v>0</v>
      </c>
      <c r="CO67" s="43">
        <v>0</v>
      </c>
      <c r="CP67" s="43">
        <v>0</v>
      </c>
      <c r="CQ67" s="43">
        <v>0</v>
      </c>
      <c r="CR67" s="43">
        <v>0</v>
      </c>
      <c r="CS67" s="43">
        <v>0</v>
      </c>
      <c r="CT67" s="43">
        <v>0</v>
      </c>
      <c r="CU67" s="43">
        <v>0</v>
      </c>
      <c r="CV67" s="43">
        <v>0</v>
      </c>
      <c r="CW67" s="43">
        <v>0</v>
      </c>
      <c r="CX67" s="43">
        <v>0</v>
      </c>
      <c r="CY67" s="43">
        <v>0</v>
      </c>
      <c r="CZ67" s="43">
        <v>1.8718381113000001E-2</v>
      </c>
      <c r="DA67" s="43">
        <v>0</v>
      </c>
      <c r="DB67" s="43">
        <v>0</v>
      </c>
      <c r="DC67" s="43">
        <v>0</v>
      </c>
      <c r="DD67" s="43">
        <v>5.6998313659400002E-2</v>
      </c>
      <c r="DE67" s="43">
        <v>8.4317032040500002E-4</v>
      </c>
      <c r="DF67" s="43">
        <v>0</v>
      </c>
      <c r="DG67" s="43">
        <v>3.55817875211E-2</v>
      </c>
      <c r="DH67" s="43">
        <v>7.7571669477199999E-3</v>
      </c>
      <c r="DI67" s="43">
        <v>0</v>
      </c>
      <c r="DJ67" s="43">
        <v>1.18043844857E-3</v>
      </c>
      <c r="DK67" s="43">
        <v>0</v>
      </c>
      <c r="DL67" s="43">
        <v>0</v>
      </c>
      <c r="DM67" s="43">
        <v>0</v>
      </c>
      <c r="DN67" s="43">
        <v>1.18043844857E-3</v>
      </c>
      <c r="DO67" s="43">
        <v>0</v>
      </c>
      <c r="DP67" s="43">
        <v>0</v>
      </c>
      <c r="DQ67" s="43">
        <v>3.1365935919100002E-2</v>
      </c>
      <c r="DR67" s="43">
        <v>0</v>
      </c>
      <c r="DS67" s="43">
        <v>2.8667790893800001E-2</v>
      </c>
      <c r="DT67" s="43">
        <v>3.87858347386E-3</v>
      </c>
      <c r="DU67" s="43">
        <v>1.9898819561600001E-2</v>
      </c>
      <c r="DV67" s="43">
        <v>0</v>
      </c>
      <c r="DW67" s="43">
        <v>0</v>
      </c>
      <c r="DX67" s="43">
        <v>8.4317032040500002E-4</v>
      </c>
      <c r="DY67" s="43">
        <v>0</v>
      </c>
      <c r="DZ67" s="43">
        <v>2.3608768971300001E-3</v>
      </c>
      <c r="EA67" s="43">
        <v>0</v>
      </c>
      <c r="EB67" s="43">
        <v>9.3591905564900005E-2</v>
      </c>
      <c r="EC67" s="43">
        <v>0</v>
      </c>
      <c r="ED67" s="43">
        <v>2.95109612142E-2</v>
      </c>
      <c r="EE67" s="43">
        <v>0</v>
      </c>
      <c r="EF67" s="43">
        <v>0</v>
      </c>
      <c r="EG67" s="43">
        <v>2.5463743676199999E-2</v>
      </c>
      <c r="EH67" s="43">
        <v>0</v>
      </c>
      <c r="EI67" s="43">
        <v>3.5413153457000001E-3</v>
      </c>
      <c r="EJ67" s="43">
        <v>0</v>
      </c>
      <c r="EK67" s="43">
        <v>0</v>
      </c>
      <c r="EL67" s="43">
        <v>0</v>
      </c>
      <c r="EM67" s="43">
        <v>0</v>
      </c>
      <c r="EN67" s="43">
        <v>0</v>
      </c>
      <c r="EO67" s="43">
        <v>0</v>
      </c>
      <c r="EP67" s="43">
        <v>1.95615514334E-2</v>
      </c>
      <c r="EQ67" s="43">
        <v>3.37268128162E-4</v>
      </c>
      <c r="ER67" s="43">
        <v>1.01180438449E-3</v>
      </c>
      <c r="ES67" s="43">
        <v>0</v>
      </c>
      <c r="ET67" s="43">
        <v>0</v>
      </c>
      <c r="EU67" s="43">
        <v>2.1922428330500001E-3</v>
      </c>
      <c r="EV67" s="43">
        <v>2.6981450252999998E-3</v>
      </c>
      <c r="EW67" s="43">
        <v>0</v>
      </c>
      <c r="EX67" s="43">
        <v>0</v>
      </c>
      <c r="EY67" s="43">
        <v>5.37942664418E-2</v>
      </c>
      <c r="EZ67" s="43">
        <v>0</v>
      </c>
      <c r="FA67" s="43">
        <v>0</v>
      </c>
      <c r="FB67" s="43">
        <v>0</v>
      </c>
      <c r="FC67" s="43">
        <v>0</v>
      </c>
      <c r="FD67" s="43">
        <v>0</v>
      </c>
      <c r="FE67" s="43">
        <v>0</v>
      </c>
      <c r="FF67" s="43">
        <v>0</v>
      </c>
      <c r="FG67" s="43">
        <v>0</v>
      </c>
      <c r="FH67" s="43">
        <v>0</v>
      </c>
      <c r="FI67" s="43">
        <v>0</v>
      </c>
      <c r="FJ67" s="43">
        <v>0</v>
      </c>
      <c r="FK67" s="43">
        <v>0</v>
      </c>
      <c r="FL67" s="43">
        <v>0</v>
      </c>
      <c r="FM67" s="43">
        <v>0</v>
      </c>
      <c r="FN67" s="43">
        <v>0</v>
      </c>
      <c r="FO67" s="43">
        <v>0</v>
      </c>
      <c r="FP67" s="43">
        <v>0</v>
      </c>
      <c r="FQ67" s="43">
        <v>0</v>
      </c>
      <c r="FR67" s="43">
        <v>0</v>
      </c>
      <c r="FS67" s="43">
        <v>0</v>
      </c>
      <c r="FT67" s="43">
        <v>0</v>
      </c>
      <c r="FU67" s="43">
        <v>0</v>
      </c>
      <c r="FV67" s="43">
        <v>0</v>
      </c>
      <c r="FW67" s="43">
        <v>0</v>
      </c>
      <c r="FX67" s="43">
        <v>0</v>
      </c>
      <c r="FY67" s="43">
        <v>0</v>
      </c>
      <c r="FZ67" s="43">
        <v>0</v>
      </c>
      <c r="GA67" s="43">
        <v>0</v>
      </c>
      <c r="GB67" s="43">
        <v>0</v>
      </c>
      <c r="GC67" s="43">
        <v>3.5244519392899999E-2</v>
      </c>
      <c r="GD67" s="43">
        <v>0</v>
      </c>
    </row>
    <row r="68" spans="1:186" ht="16.5" x14ac:dyDescent="0.3">
      <c r="A68" s="21" t="s">
        <v>360</v>
      </c>
      <c r="B68" s="57" t="s">
        <v>287</v>
      </c>
      <c r="C68" s="23">
        <v>16.5</v>
      </c>
      <c r="D68" s="23" t="s">
        <v>195</v>
      </c>
      <c r="E68" s="24" t="s">
        <v>243</v>
      </c>
      <c r="F68" s="25" t="s">
        <v>361</v>
      </c>
      <c r="G68" s="26" t="s">
        <v>289</v>
      </c>
      <c r="H68" s="51" t="s">
        <v>243</v>
      </c>
      <c r="I68" s="52">
        <v>17</v>
      </c>
      <c r="J68" s="52">
        <v>173</v>
      </c>
      <c r="K68" s="52">
        <v>65</v>
      </c>
      <c r="L68" s="53">
        <f t="shared" si="24"/>
        <v>21.718066089745729</v>
      </c>
      <c r="M68" s="54">
        <v>60</v>
      </c>
      <c r="N68" s="30" t="s">
        <v>186</v>
      </c>
      <c r="O68" s="30" t="s">
        <v>186</v>
      </c>
      <c r="P68" s="30" t="s">
        <v>186</v>
      </c>
      <c r="Q68" s="30" t="s">
        <v>186</v>
      </c>
      <c r="R68" s="30" t="s">
        <v>186</v>
      </c>
      <c r="S68" s="30" t="s">
        <v>186</v>
      </c>
      <c r="T68" s="30" t="s">
        <v>186</v>
      </c>
      <c r="U68" s="30" t="s">
        <v>186</v>
      </c>
      <c r="V68" s="30" t="s">
        <v>186</v>
      </c>
      <c r="W68" s="30" t="s">
        <v>362</v>
      </c>
      <c r="X68" s="25">
        <v>8156.380336934104</v>
      </c>
      <c r="Y68" s="25">
        <v>3413.147586785381</v>
      </c>
      <c r="Z68" s="25">
        <v>907.62176910252549</v>
      </c>
      <c r="AA68" s="25">
        <v>6796.4309216092661</v>
      </c>
      <c r="AB68" s="25">
        <v>1403.1629776576558</v>
      </c>
      <c r="AC68" s="25">
        <v>248.99381688407681</v>
      </c>
      <c r="AD68" s="32">
        <v>110.3</v>
      </c>
      <c r="AE68" s="32">
        <v>6.96</v>
      </c>
      <c r="AF68" s="23" t="s">
        <v>195</v>
      </c>
      <c r="AG68" s="33">
        <v>54.4</v>
      </c>
      <c r="AH68" s="33">
        <v>13.9</v>
      </c>
      <c r="AI68" s="34">
        <f t="shared" si="20"/>
        <v>12.794117647058822</v>
      </c>
      <c r="AJ68" s="34">
        <f t="shared" si="21"/>
        <v>50.07194244604316</v>
      </c>
      <c r="AK68" s="35">
        <v>54.4</v>
      </c>
      <c r="AL68" s="58">
        <f t="shared" si="22"/>
        <v>12.794117647058822</v>
      </c>
      <c r="AM68" s="37">
        <v>13.9</v>
      </c>
      <c r="AN68" s="59">
        <f t="shared" si="23"/>
        <v>50.07194244604316</v>
      </c>
      <c r="AO68" s="39">
        <v>1456981.25111989</v>
      </c>
      <c r="AP68" s="39">
        <v>5799496.5528668398</v>
      </c>
      <c r="AQ68" s="39">
        <v>4098437.6271397001</v>
      </c>
      <c r="AR68" s="39">
        <v>3362705.3481838899</v>
      </c>
      <c r="AT68" s="47">
        <v>0.248903878583</v>
      </c>
      <c r="AU68" s="47">
        <v>0.48010118043799999</v>
      </c>
      <c r="AV68" s="47">
        <v>0</v>
      </c>
      <c r="AW68" s="47">
        <v>2.1922428330500001E-3</v>
      </c>
      <c r="AX68" s="47">
        <v>5.0590219224299997E-4</v>
      </c>
      <c r="AY68" s="47">
        <v>0.26323777402999998</v>
      </c>
      <c r="AZ68" s="47">
        <v>4.3844856661000003E-3</v>
      </c>
      <c r="BA68" s="47">
        <v>5.0590219224299997E-4</v>
      </c>
      <c r="BB68" s="47">
        <v>1.68634064081E-4</v>
      </c>
      <c r="BC68" s="47">
        <v>0</v>
      </c>
      <c r="BD68" s="47">
        <v>0</v>
      </c>
      <c r="BE68" s="47">
        <v>0</v>
      </c>
      <c r="BF68" s="47">
        <v>0</v>
      </c>
      <c r="BG68" s="48"/>
      <c r="BH68" s="43">
        <v>1.68634064081E-4</v>
      </c>
      <c r="BI68" s="43">
        <v>0</v>
      </c>
      <c r="BJ68" s="43">
        <v>4.3844856661000003E-3</v>
      </c>
      <c r="BK68" s="43">
        <v>0</v>
      </c>
      <c r="BL68" s="43">
        <v>0</v>
      </c>
      <c r="BM68" s="43">
        <v>2.8667790893799998E-3</v>
      </c>
      <c r="BN68" s="43">
        <v>0</v>
      </c>
      <c r="BO68" s="43">
        <v>0</v>
      </c>
      <c r="BP68" s="43">
        <v>0</v>
      </c>
      <c r="BQ68" s="43">
        <v>0</v>
      </c>
      <c r="BR68" s="43">
        <v>0</v>
      </c>
      <c r="BS68" s="43">
        <v>0</v>
      </c>
      <c r="BT68" s="43">
        <v>0.126812816189</v>
      </c>
      <c r="BU68" s="43">
        <v>1.60202360877E-2</v>
      </c>
      <c r="BV68" s="43">
        <v>4.2158516020200001E-2</v>
      </c>
      <c r="BW68" s="43">
        <v>0</v>
      </c>
      <c r="BX68" s="43">
        <v>7.5379426644199998E-2</v>
      </c>
      <c r="BY68" s="43">
        <v>0</v>
      </c>
      <c r="BZ68" s="43">
        <v>0</v>
      </c>
      <c r="CA68" s="43">
        <v>0</v>
      </c>
      <c r="CB68" s="43">
        <v>5.0590219224299997E-4</v>
      </c>
      <c r="CC68" s="43">
        <v>5.0590219224299997E-4</v>
      </c>
      <c r="CD68" s="43">
        <v>0</v>
      </c>
      <c r="CE68" s="43">
        <v>0</v>
      </c>
      <c r="CF68" s="43">
        <v>0</v>
      </c>
      <c r="CG68" s="43">
        <v>1.18043844857E-3</v>
      </c>
      <c r="CH68" s="43">
        <v>0</v>
      </c>
      <c r="CI68" s="43">
        <v>0</v>
      </c>
      <c r="CJ68" s="43">
        <v>0</v>
      </c>
      <c r="CK68" s="43">
        <v>0</v>
      </c>
      <c r="CL68" s="43">
        <v>0</v>
      </c>
      <c r="CM68" s="43">
        <v>0</v>
      </c>
      <c r="CN68" s="43">
        <v>0</v>
      </c>
      <c r="CO68" s="43">
        <v>0</v>
      </c>
      <c r="CP68" s="43">
        <v>0</v>
      </c>
      <c r="CQ68" s="43">
        <v>0</v>
      </c>
      <c r="CR68" s="43">
        <v>0</v>
      </c>
      <c r="CS68" s="43">
        <v>0</v>
      </c>
      <c r="CT68" s="43">
        <v>0</v>
      </c>
      <c r="CU68" s="43">
        <v>0</v>
      </c>
      <c r="CV68" s="43">
        <v>0</v>
      </c>
      <c r="CW68" s="43">
        <v>0</v>
      </c>
      <c r="CX68" s="43">
        <v>0</v>
      </c>
      <c r="CY68" s="43">
        <v>0</v>
      </c>
      <c r="CZ68" s="43">
        <v>0</v>
      </c>
      <c r="DA68" s="43">
        <v>0</v>
      </c>
      <c r="DB68" s="43">
        <v>0</v>
      </c>
      <c r="DC68" s="43">
        <v>0</v>
      </c>
      <c r="DD68" s="43">
        <v>8.7689713322100002E-2</v>
      </c>
      <c r="DE68" s="43">
        <v>0</v>
      </c>
      <c r="DF68" s="43">
        <v>0</v>
      </c>
      <c r="DG68" s="43">
        <v>7.3187183811099996E-2</v>
      </c>
      <c r="DH68" s="43">
        <v>1.60202360877E-2</v>
      </c>
      <c r="DI68" s="43">
        <v>0</v>
      </c>
      <c r="DJ68" s="43">
        <v>0</v>
      </c>
      <c r="DK68" s="43">
        <v>0</v>
      </c>
      <c r="DL68" s="43">
        <v>0</v>
      </c>
      <c r="DM68" s="43">
        <v>0</v>
      </c>
      <c r="DN68" s="43">
        <v>0</v>
      </c>
      <c r="DO68" s="43">
        <v>0</v>
      </c>
      <c r="DP68" s="43">
        <v>0</v>
      </c>
      <c r="DQ68" s="43">
        <v>3.81112984823E-2</v>
      </c>
      <c r="DR68" s="43">
        <v>0</v>
      </c>
      <c r="DS68" s="43">
        <v>6.5767284991600002E-3</v>
      </c>
      <c r="DT68" s="43">
        <v>5.5649241146699998E-3</v>
      </c>
      <c r="DU68" s="43">
        <v>1.0792580101199999E-2</v>
      </c>
      <c r="DV68" s="43">
        <v>0</v>
      </c>
      <c r="DW68" s="43">
        <v>0</v>
      </c>
      <c r="DX68" s="43">
        <v>8.4317032040500002E-4</v>
      </c>
      <c r="DY68" s="43">
        <v>9.2748735244500002E-3</v>
      </c>
      <c r="DZ68" s="43">
        <v>4.89038785835E-3</v>
      </c>
      <c r="EA68" s="43">
        <v>0</v>
      </c>
      <c r="EB68" s="43">
        <v>4.4688026981499998E-2</v>
      </c>
      <c r="EC68" s="43">
        <v>0</v>
      </c>
      <c r="ED68" s="43">
        <v>6.0539629005100001E-2</v>
      </c>
      <c r="EE68" s="43">
        <v>2.5463743676199999E-2</v>
      </c>
      <c r="EF68" s="43">
        <v>9.6121416526100002E-3</v>
      </c>
      <c r="EG68" s="43">
        <v>6.0539629005100001E-2</v>
      </c>
      <c r="EH68" s="43">
        <v>0</v>
      </c>
      <c r="EI68" s="43">
        <v>1.01180438449E-3</v>
      </c>
      <c r="EJ68" s="43">
        <v>0</v>
      </c>
      <c r="EK68" s="43">
        <v>0</v>
      </c>
      <c r="EL68" s="43">
        <v>0</v>
      </c>
      <c r="EM68" s="43">
        <v>1.68634064081E-4</v>
      </c>
      <c r="EN68" s="43">
        <v>0</v>
      </c>
      <c r="EO68" s="43">
        <v>0</v>
      </c>
      <c r="EP68" s="43">
        <v>4.0472175379400004E-3</v>
      </c>
      <c r="EQ68" s="43">
        <v>0</v>
      </c>
      <c r="ER68" s="43">
        <v>0</v>
      </c>
      <c r="ES68" s="43">
        <v>0</v>
      </c>
      <c r="ET68" s="43">
        <v>0</v>
      </c>
      <c r="EU68" s="43">
        <v>0</v>
      </c>
      <c r="EV68" s="43">
        <v>0</v>
      </c>
      <c r="EW68" s="43">
        <v>0</v>
      </c>
      <c r="EX68" s="43">
        <v>0</v>
      </c>
      <c r="EY68" s="43">
        <v>2.1079258010100001E-2</v>
      </c>
      <c r="EZ68" s="43">
        <v>0</v>
      </c>
      <c r="FA68" s="43">
        <v>0</v>
      </c>
      <c r="FB68" s="43">
        <v>0</v>
      </c>
      <c r="FC68" s="43">
        <v>0</v>
      </c>
      <c r="FD68" s="43">
        <v>0</v>
      </c>
      <c r="FE68" s="43">
        <v>0</v>
      </c>
      <c r="FF68" s="43">
        <v>0</v>
      </c>
      <c r="FG68" s="43">
        <v>0</v>
      </c>
      <c r="FH68" s="43">
        <v>0</v>
      </c>
      <c r="FI68" s="43">
        <v>0</v>
      </c>
      <c r="FJ68" s="43">
        <v>0</v>
      </c>
      <c r="FK68" s="43">
        <v>0</v>
      </c>
      <c r="FL68" s="43">
        <v>0</v>
      </c>
      <c r="FM68" s="43">
        <v>0</v>
      </c>
      <c r="FN68" s="43">
        <v>0</v>
      </c>
      <c r="FO68" s="43">
        <v>0</v>
      </c>
      <c r="FP68" s="43">
        <v>0</v>
      </c>
      <c r="FQ68" s="43">
        <v>0</v>
      </c>
      <c r="FR68" s="43">
        <v>0</v>
      </c>
      <c r="FS68" s="43">
        <v>0</v>
      </c>
      <c r="FT68" s="43">
        <v>0</v>
      </c>
      <c r="FU68" s="43">
        <v>0</v>
      </c>
      <c r="FV68" s="43">
        <v>0</v>
      </c>
      <c r="FW68" s="43">
        <v>0</v>
      </c>
      <c r="FX68" s="43">
        <v>0</v>
      </c>
      <c r="FY68" s="43">
        <v>0</v>
      </c>
      <c r="FZ68" s="43">
        <v>5.0590219224299997E-4</v>
      </c>
      <c r="GA68" s="43">
        <v>0</v>
      </c>
      <c r="GB68" s="43">
        <v>5.0590219224299997E-4</v>
      </c>
      <c r="GC68" s="43">
        <v>0.248903878583</v>
      </c>
      <c r="GD68" s="43">
        <v>0</v>
      </c>
    </row>
    <row r="69" spans="1:186" ht="16.5" x14ac:dyDescent="0.3">
      <c r="A69" s="21" t="s">
        <v>363</v>
      </c>
      <c r="B69" s="57" t="s">
        <v>287</v>
      </c>
      <c r="C69" s="23">
        <v>5.92</v>
      </c>
      <c r="D69" s="23" t="s">
        <v>183</v>
      </c>
      <c r="E69" s="24" t="s">
        <v>184</v>
      </c>
      <c r="F69" s="25" t="s">
        <v>364</v>
      </c>
      <c r="G69" s="26" t="s">
        <v>289</v>
      </c>
      <c r="H69" s="26" t="s">
        <v>184</v>
      </c>
      <c r="I69" s="27">
        <v>6</v>
      </c>
      <c r="J69" s="27">
        <v>118</v>
      </c>
      <c r="K69" s="27">
        <v>19</v>
      </c>
      <c r="L69" s="28">
        <f t="shared" si="24"/>
        <v>13.645504165469694</v>
      </c>
      <c r="M69" s="29">
        <v>4</v>
      </c>
      <c r="N69" s="30" t="s">
        <v>186</v>
      </c>
      <c r="O69" s="30" t="s">
        <v>186</v>
      </c>
      <c r="P69" s="30" t="s">
        <v>186</v>
      </c>
      <c r="Q69" s="30" t="s">
        <v>186</v>
      </c>
      <c r="R69" s="30" t="s">
        <v>186</v>
      </c>
      <c r="S69" s="30" t="s">
        <v>186</v>
      </c>
      <c r="T69" s="30" t="s">
        <v>186</v>
      </c>
      <c r="U69" s="30" t="s">
        <v>186</v>
      </c>
      <c r="V69" s="30" t="s">
        <v>186</v>
      </c>
      <c r="W69" s="30" t="s">
        <v>186</v>
      </c>
      <c r="X69" s="25">
        <v>8335.5778857406567</v>
      </c>
      <c r="Y69" s="25">
        <v>3052.6771903940512</v>
      </c>
      <c r="Z69" s="25">
        <v>2119.3397990603835</v>
      </c>
      <c r="AA69" s="25">
        <v>9346.8668828693953</v>
      </c>
      <c r="AB69" s="25">
        <v>3387.5301237847066</v>
      </c>
      <c r="AC69" s="25">
        <v>2206.886405412055</v>
      </c>
      <c r="AD69" s="32">
        <v>155.65</v>
      </c>
      <c r="AE69" s="32">
        <v>39.4925</v>
      </c>
      <c r="AF69" s="23" t="s">
        <v>183</v>
      </c>
      <c r="AG69" s="33">
        <v>180.35</v>
      </c>
      <c r="AH69" s="33">
        <v>19.3</v>
      </c>
      <c r="AI69" s="34">
        <f t="shared" si="20"/>
        <v>21.897698918769059</v>
      </c>
      <c r="AJ69" s="34">
        <f t="shared" si="21"/>
        <v>204.62435233160622</v>
      </c>
      <c r="AK69" s="35">
        <v>180.35</v>
      </c>
      <c r="AL69" s="58">
        <f t="shared" si="22"/>
        <v>21.897698918769059</v>
      </c>
      <c r="AM69" s="37">
        <v>19.3</v>
      </c>
      <c r="AN69" s="59">
        <f t="shared" si="23"/>
        <v>204.62435233160622</v>
      </c>
      <c r="AO69" s="39">
        <v>3380035.7683882299</v>
      </c>
      <c r="AP69" s="39">
        <v>21975188.982203599</v>
      </c>
      <c r="AQ69" s="39">
        <v>3444515.7451979299</v>
      </c>
      <c r="AR69" s="39">
        <v>82976991.211715698</v>
      </c>
      <c r="AT69" s="47">
        <v>0.15126475548099999</v>
      </c>
      <c r="AU69" s="47">
        <v>0.75649241146699997</v>
      </c>
      <c r="AV69" s="47">
        <v>0</v>
      </c>
      <c r="AW69" s="47">
        <v>9.9494097807800008E-3</v>
      </c>
      <c r="AX69" s="47">
        <v>0</v>
      </c>
      <c r="AY69" s="47">
        <v>8.2293423271499994E-2</v>
      </c>
      <c r="AZ69" s="47">
        <v>0</v>
      </c>
      <c r="BA69" s="47">
        <v>0</v>
      </c>
      <c r="BB69" s="47">
        <v>0</v>
      </c>
      <c r="BC69" s="47">
        <v>0</v>
      </c>
      <c r="BD69" s="47">
        <v>0</v>
      </c>
      <c r="BE69" s="47">
        <v>0</v>
      </c>
      <c r="BF69" s="47">
        <v>0</v>
      </c>
      <c r="BG69" s="48"/>
      <c r="BH69" s="43">
        <v>0</v>
      </c>
      <c r="BI69" s="43">
        <v>0</v>
      </c>
      <c r="BJ69" s="43">
        <v>0</v>
      </c>
      <c r="BK69" s="43">
        <v>0</v>
      </c>
      <c r="BL69" s="43">
        <v>0</v>
      </c>
      <c r="BM69" s="43">
        <v>4.72175379427E-3</v>
      </c>
      <c r="BN69" s="43">
        <v>0</v>
      </c>
      <c r="BO69" s="43">
        <v>0</v>
      </c>
      <c r="BP69" s="43">
        <v>0</v>
      </c>
      <c r="BQ69" s="43">
        <v>0</v>
      </c>
      <c r="BR69" s="43">
        <v>0</v>
      </c>
      <c r="BS69" s="43">
        <v>0</v>
      </c>
      <c r="BT69" s="43">
        <v>1.3153456998300001E-2</v>
      </c>
      <c r="BU69" s="43">
        <v>0</v>
      </c>
      <c r="BV69" s="43">
        <v>0</v>
      </c>
      <c r="BW69" s="43">
        <v>0</v>
      </c>
      <c r="BX69" s="43">
        <v>6.4418212478900005E-2</v>
      </c>
      <c r="BY69" s="43">
        <v>0</v>
      </c>
      <c r="BZ69" s="43">
        <v>0</v>
      </c>
      <c r="CA69" s="43">
        <v>0</v>
      </c>
      <c r="CB69" s="43">
        <v>9.4435075885299993E-3</v>
      </c>
      <c r="CC69" s="43">
        <v>0</v>
      </c>
      <c r="CD69" s="43">
        <v>0</v>
      </c>
      <c r="CE69" s="43">
        <v>0</v>
      </c>
      <c r="CF69" s="43">
        <v>0</v>
      </c>
      <c r="CG69" s="43">
        <v>5.0590219224299997E-4</v>
      </c>
      <c r="CH69" s="43">
        <v>0</v>
      </c>
      <c r="CI69" s="43">
        <v>0</v>
      </c>
      <c r="CJ69" s="43">
        <v>0</v>
      </c>
      <c r="CK69" s="43">
        <v>0</v>
      </c>
      <c r="CL69" s="43">
        <v>0</v>
      </c>
      <c r="CM69" s="43">
        <v>0</v>
      </c>
      <c r="CN69" s="43">
        <v>0</v>
      </c>
      <c r="CO69" s="43">
        <v>0</v>
      </c>
      <c r="CP69" s="43">
        <v>0</v>
      </c>
      <c r="CQ69" s="43">
        <v>1.68634064081E-4</v>
      </c>
      <c r="CR69" s="43">
        <v>0</v>
      </c>
      <c r="CS69" s="43">
        <v>3.37268128162E-4</v>
      </c>
      <c r="CT69" s="43">
        <v>8.4317032040500002E-4</v>
      </c>
      <c r="CU69" s="43">
        <v>0</v>
      </c>
      <c r="CV69" s="43">
        <v>0</v>
      </c>
      <c r="CW69" s="43">
        <v>0</v>
      </c>
      <c r="CX69" s="43">
        <v>0</v>
      </c>
      <c r="CY69" s="43">
        <v>0</v>
      </c>
      <c r="CZ69" s="43">
        <v>0</v>
      </c>
      <c r="DA69" s="43">
        <v>0</v>
      </c>
      <c r="DB69" s="43">
        <v>0</v>
      </c>
      <c r="DC69" s="43">
        <v>0</v>
      </c>
      <c r="DD69" s="43">
        <v>4.89038785835E-3</v>
      </c>
      <c r="DE69" s="43">
        <v>0</v>
      </c>
      <c r="DF69" s="43">
        <v>0</v>
      </c>
      <c r="DG69" s="43">
        <v>3.1534569983100003E-2</v>
      </c>
      <c r="DH69" s="43">
        <v>0</v>
      </c>
      <c r="DI69" s="43">
        <v>0</v>
      </c>
      <c r="DJ69" s="43">
        <v>5.3962900505899998E-3</v>
      </c>
      <c r="DK69" s="43">
        <v>5.7335581787499998E-3</v>
      </c>
      <c r="DL69" s="43">
        <v>0</v>
      </c>
      <c r="DM69" s="43">
        <v>0</v>
      </c>
      <c r="DN69" s="43">
        <v>0</v>
      </c>
      <c r="DO69" s="43">
        <v>0</v>
      </c>
      <c r="DP69" s="43">
        <v>1.01180438449E-3</v>
      </c>
      <c r="DQ69" s="43">
        <v>0.18431703204</v>
      </c>
      <c r="DR69" s="43">
        <v>0</v>
      </c>
      <c r="DS69" s="43">
        <v>5.51433389545E-2</v>
      </c>
      <c r="DT69" s="43">
        <v>0</v>
      </c>
      <c r="DU69" s="43">
        <v>3.37268128162E-4</v>
      </c>
      <c r="DV69" s="43">
        <v>0</v>
      </c>
      <c r="DW69" s="43">
        <v>0</v>
      </c>
      <c r="DX69" s="43">
        <v>0</v>
      </c>
      <c r="DY69" s="43">
        <v>0</v>
      </c>
      <c r="DZ69" s="43">
        <v>2.3102866779099999E-2</v>
      </c>
      <c r="EA69" s="43">
        <v>0</v>
      </c>
      <c r="EB69" s="43">
        <v>9.7807757166900003E-2</v>
      </c>
      <c r="EC69" s="43">
        <v>6.74536256324E-4</v>
      </c>
      <c r="ED69" s="43">
        <v>0.19662731871799999</v>
      </c>
      <c r="EE69" s="43">
        <v>5.1770657672800001E-2</v>
      </c>
      <c r="EF69" s="43">
        <v>1.5177065767300001E-3</v>
      </c>
      <c r="EG69" s="43">
        <v>2.5295109612099999E-2</v>
      </c>
      <c r="EH69" s="43">
        <v>0</v>
      </c>
      <c r="EI69" s="43">
        <v>0</v>
      </c>
      <c r="EJ69" s="43">
        <v>0</v>
      </c>
      <c r="EK69" s="43">
        <v>0</v>
      </c>
      <c r="EL69" s="43">
        <v>0</v>
      </c>
      <c r="EM69" s="43">
        <v>0</v>
      </c>
      <c r="EN69" s="43">
        <v>0</v>
      </c>
      <c r="EO69" s="43">
        <v>0</v>
      </c>
      <c r="EP69" s="43">
        <v>8.0944350758899997E-3</v>
      </c>
      <c r="EQ69" s="43">
        <v>0</v>
      </c>
      <c r="ER69" s="43">
        <v>0</v>
      </c>
      <c r="ES69" s="43">
        <v>0</v>
      </c>
      <c r="ET69" s="43">
        <v>0</v>
      </c>
      <c r="EU69" s="43">
        <v>0</v>
      </c>
      <c r="EV69" s="43">
        <v>0</v>
      </c>
      <c r="EW69" s="43">
        <v>0</v>
      </c>
      <c r="EX69" s="43">
        <v>0</v>
      </c>
      <c r="EY69" s="43">
        <v>5.9359190556499998E-2</v>
      </c>
      <c r="EZ69" s="43">
        <v>0</v>
      </c>
      <c r="FA69" s="43">
        <v>0</v>
      </c>
      <c r="FB69" s="43">
        <v>0</v>
      </c>
      <c r="FC69" s="43">
        <v>0</v>
      </c>
      <c r="FD69" s="43">
        <v>2.5295109612100001E-3</v>
      </c>
      <c r="FE69" s="43">
        <v>0</v>
      </c>
      <c r="FF69" s="43">
        <v>0</v>
      </c>
      <c r="FG69" s="43">
        <v>0</v>
      </c>
      <c r="FH69" s="43">
        <v>0</v>
      </c>
      <c r="FI69" s="43">
        <v>0</v>
      </c>
      <c r="FJ69" s="43">
        <v>0</v>
      </c>
      <c r="FK69" s="43">
        <v>0</v>
      </c>
      <c r="FL69" s="43">
        <v>0</v>
      </c>
      <c r="FM69" s="43">
        <v>0</v>
      </c>
      <c r="FN69" s="43">
        <v>0</v>
      </c>
      <c r="FO69" s="43">
        <v>0</v>
      </c>
      <c r="FP69" s="43">
        <v>0</v>
      </c>
      <c r="FQ69" s="43">
        <v>0</v>
      </c>
      <c r="FR69" s="43">
        <v>0</v>
      </c>
      <c r="FS69" s="43">
        <v>0</v>
      </c>
      <c r="FT69" s="43">
        <v>0</v>
      </c>
      <c r="FU69" s="43">
        <v>0</v>
      </c>
      <c r="FV69" s="43">
        <v>0</v>
      </c>
      <c r="FW69" s="43">
        <v>0</v>
      </c>
      <c r="FX69" s="43">
        <v>0</v>
      </c>
      <c r="FY69" s="43">
        <v>0</v>
      </c>
      <c r="FZ69" s="43">
        <v>0</v>
      </c>
      <c r="GA69" s="43">
        <v>0</v>
      </c>
      <c r="GB69" s="43">
        <v>0</v>
      </c>
      <c r="GC69" s="43">
        <v>0.15126475548099999</v>
      </c>
      <c r="GD69" s="43">
        <v>0</v>
      </c>
    </row>
    <row r="70" spans="1:186" ht="16.5" x14ac:dyDescent="0.3">
      <c r="A70" s="21" t="s">
        <v>365</v>
      </c>
      <c r="B70" s="57" t="s">
        <v>287</v>
      </c>
      <c r="C70" s="23">
        <v>12.08</v>
      </c>
      <c r="D70" s="23" t="s">
        <v>195</v>
      </c>
      <c r="E70" s="24" t="s">
        <v>243</v>
      </c>
      <c r="F70" s="25" t="s">
        <v>366</v>
      </c>
      <c r="G70" s="26" t="s">
        <v>289</v>
      </c>
      <c r="H70" s="51" t="s">
        <v>243</v>
      </c>
      <c r="I70" s="52">
        <v>12</v>
      </c>
      <c r="J70" s="52">
        <v>152</v>
      </c>
      <c r="K70" s="52">
        <v>47</v>
      </c>
      <c r="L70" s="53">
        <f t="shared" si="24"/>
        <v>20.342797783933516</v>
      </c>
      <c r="M70" s="54">
        <v>79</v>
      </c>
      <c r="N70" s="30" t="s">
        <v>186</v>
      </c>
      <c r="O70" s="30" t="s">
        <v>186</v>
      </c>
      <c r="P70" s="30" t="s">
        <v>186</v>
      </c>
      <c r="Q70" s="30" t="s">
        <v>186</v>
      </c>
      <c r="R70" s="30" t="s">
        <v>186</v>
      </c>
      <c r="S70" s="30" t="s">
        <v>186</v>
      </c>
      <c r="T70" s="30" t="s">
        <v>186</v>
      </c>
      <c r="U70" s="30" t="s">
        <v>186</v>
      </c>
      <c r="V70" s="30" t="s">
        <v>186</v>
      </c>
      <c r="W70" s="30" t="s">
        <v>186</v>
      </c>
      <c r="X70" s="25">
        <v>8345.603344744588</v>
      </c>
      <c r="Y70" s="25">
        <v>1615.8049472832529</v>
      </c>
      <c r="Z70" s="25">
        <v>617.0872051218405</v>
      </c>
      <c r="AA70" s="25">
        <v>2968.8858588366461</v>
      </c>
      <c r="AB70" s="25">
        <v>860.36764652857448</v>
      </c>
      <c r="AC70" s="25">
        <v>678.77812598464322</v>
      </c>
      <c r="AD70" s="32">
        <v>77.2</v>
      </c>
      <c r="AE70" s="32">
        <v>139.80500000000001</v>
      </c>
      <c r="AF70" s="23" t="s">
        <v>195</v>
      </c>
      <c r="AG70" s="33">
        <v>54.4</v>
      </c>
      <c r="AH70" s="33">
        <v>13.9</v>
      </c>
      <c r="AI70" s="34">
        <f t="shared" si="20"/>
        <v>256.99448529411768</v>
      </c>
      <c r="AJ70" s="34">
        <f t="shared" si="21"/>
        <v>1005.7913669064748</v>
      </c>
      <c r="AK70" s="35">
        <v>54.4</v>
      </c>
      <c r="AL70" s="58">
        <f t="shared" si="22"/>
        <v>256.99448529411768</v>
      </c>
      <c r="AM70" s="37">
        <v>13.9</v>
      </c>
      <c r="AN70" s="59">
        <f t="shared" si="23"/>
        <v>1005.7913669064748</v>
      </c>
      <c r="AO70" s="39">
        <v>1073143.0684338701</v>
      </c>
      <c r="AP70" s="39">
        <v>4057892.33722609</v>
      </c>
      <c r="AQ70" s="39">
        <v>2100396.1555314902</v>
      </c>
      <c r="AR70" s="39">
        <v>12792865.5592744</v>
      </c>
      <c r="AT70" s="47">
        <v>7.4536256323799996E-2</v>
      </c>
      <c r="AU70" s="47">
        <v>0.64485666104600003</v>
      </c>
      <c r="AV70" s="47">
        <v>0</v>
      </c>
      <c r="AW70" s="47">
        <v>7.0826306914000006E-2</v>
      </c>
      <c r="AX70" s="47">
        <v>0</v>
      </c>
      <c r="AY70" s="47">
        <v>0.20556492411499999</v>
      </c>
      <c r="AZ70" s="47">
        <v>0</v>
      </c>
      <c r="BA70" s="47">
        <v>1.18043844857E-3</v>
      </c>
      <c r="BB70" s="47">
        <v>1.68634064081E-4</v>
      </c>
      <c r="BC70" s="47">
        <v>2.8667790893799998E-3</v>
      </c>
      <c r="BD70" s="47">
        <v>0</v>
      </c>
      <c r="BE70" s="47">
        <v>0</v>
      </c>
      <c r="BF70" s="47">
        <v>0</v>
      </c>
      <c r="BG70" s="48"/>
      <c r="BH70" s="43">
        <v>1.68634064081E-4</v>
      </c>
      <c r="BI70" s="43">
        <v>0</v>
      </c>
      <c r="BJ70" s="43">
        <v>0</v>
      </c>
      <c r="BK70" s="43">
        <v>0</v>
      </c>
      <c r="BL70" s="43">
        <v>0</v>
      </c>
      <c r="BM70" s="43">
        <v>0</v>
      </c>
      <c r="BN70" s="43">
        <v>0</v>
      </c>
      <c r="BO70" s="43">
        <v>0</v>
      </c>
      <c r="BP70" s="43">
        <v>0</v>
      </c>
      <c r="BQ70" s="43">
        <v>0</v>
      </c>
      <c r="BR70" s="43">
        <v>0</v>
      </c>
      <c r="BS70" s="43">
        <v>0</v>
      </c>
      <c r="BT70" s="43">
        <v>0.152951096121</v>
      </c>
      <c r="BU70" s="43">
        <v>2.6981450252999998E-3</v>
      </c>
      <c r="BV70" s="43">
        <v>4.72175379427E-3</v>
      </c>
      <c r="BW70" s="43">
        <v>0</v>
      </c>
      <c r="BX70" s="43">
        <v>4.51939291737E-2</v>
      </c>
      <c r="BY70" s="43">
        <v>0</v>
      </c>
      <c r="BZ70" s="43">
        <v>0</v>
      </c>
      <c r="CA70" s="43">
        <v>0</v>
      </c>
      <c r="CB70" s="43">
        <v>6.4249578414800002E-2</v>
      </c>
      <c r="CC70" s="43">
        <v>0</v>
      </c>
      <c r="CD70" s="43">
        <v>0</v>
      </c>
      <c r="CE70" s="43">
        <v>0</v>
      </c>
      <c r="CF70" s="43">
        <v>0</v>
      </c>
      <c r="CG70" s="43">
        <v>2.1922428330500001E-3</v>
      </c>
      <c r="CH70" s="43">
        <v>0</v>
      </c>
      <c r="CI70" s="43">
        <v>4.3844856661000003E-3</v>
      </c>
      <c r="CJ70" s="43">
        <v>0</v>
      </c>
      <c r="CK70" s="43">
        <v>0</v>
      </c>
      <c r="CL70" s="43">
        <v>0</v>
      </c>
      <c r="CM70" s="43">
        <v>0</v>
      </c>
      <c r="CN70" s="43">
        <v>2.8667790893799998E-3</v>
      </c>
      <c r="CO70" s="43">
        <v>0</v>
      </c>
      <c r="CP70" s="43">
        <v>0</v>
      </c>
      <c r="CQ70" s="43">
        <v>0</v>
      </c>
      <c r="CR70" s="43">
        <v>0</v>
      </c>
      <c r="CS70" s="43">
        <v>0</v>
      </c>
      <c r="CT70" s="43">
        <v>0</v>
      </c>
      <c r="CU70" s="43">
        <v>0</v>
      </c>
      <c r="CV70" s="43">
        <v>0</v>
      </c>
      <c r="CW70" s="43">
        <v>0</v>
      </c>
      <c r="CX70" s="43">
        <v>0</v>
      </c>
      <c r="CY70" s="43">
        <v>0</v>
      </c>
      <c r="CZ70" s="43">
        <v>0</v>
      </c>
      <c r="DA70" s="43">
        <v>0</v>
      </c>
      <c r="DB70" s="43">
        <v>0</v>
      </c>
      <c r="DC70" s="43">
        <v>0</v>
      </c>
      <c r="DD70" s="43">
        <v>0</v>
      </c>
      <c r="DE70" s="43">
        <v>0</v>
      </c>
      <c r="DF70" s="43">
        <v>0</v>
      </c>
      <c r="DG70" s="43">
        <v>0.11804384485699999</v>
      </c>
      <c r="DH70" s="43">
        <v>2.1922428330500001E-3</v>
      </c>
      <c r="DI70" s="43">
        <v>0</v>
      </c>
      <c r="DJ70" s="43">
        <v>0</v>
      </c>
      <c r="DK70" s="43">
        <v>0</v>
      </c>
      <c r="DL70" s="43">
        <v>0</v>
      </c>
      <c r="DM70" s="43">
        <v>0</v>
      </c>
      <c r="DN70" s="43">
        <v>0</v>
      </c>
      <c r="DO70" s="43">
        <v>0</v>
      </c>
      <c r="DP70" s="43">
        <v>0</v>
      </c>
      <c r="DQ70" s="43">
        <v>6.4418212478900005E-2</v>
      </c>
      <c r="DR70" s="43">
        <v>0</v>
      </c>
      <c r="DS70" s="43">
        <v>3.91231028668E-2</v>
      </c>
      <c r="DT70" s="43">
        <v>0</v>
      </c>
      <c r="DU70" s="43">
        <v>3.7436762226000002E-2</v>
      </c>
      <c r="DV70" s="43">
        <v>0</v>
      </c>
      <c r="DW70" s="43">
        <v>0</v>
      </c>
      <c r="DX70" s="43">
        <v>0</v>
      </c>
      <c r="DY70" s="43">
        <v>1.39966273187E-2</v>
      </c>
      <c r="DZ70" s="43">
        <v>0</v>
      </c>
      <c r="EA70" s="43">
        <v>0</v>
      </c>
      <c r="EB70" s="43">
        <v>7.84148397976E-2</v>
      </c>
      <c r="EC70" s="43">
        <v>0</v>
      </c>
      <c r="ED70" s="43">
        <v>0.18094435075900001</v>
      </c>
      <c r="EE70" s="43">
        <v>8.4317032040499996E-3</v>
      </c>
      <c r="EF70" s="43">
        <v>5.3962900505899998E-3</v>
      </c>
      <c r="EG70" s="43">
        <v>3.3895446880300002E-2</v>
      </c>
      <c r="EH70" s="43">
        <v>0</v>
      </c>
      <c r="EI70" s="43">
        <v>4.0472175379399997E-2</v>
      </c>
      <c r="EJ70" s="43">
        <v>0</v>
      </c>
      <c r="EK70" s="43">
        <v>0</v>
      </c>
      <c r="EL70" s="43">
        <v>0</v>
      </c>
      <c r="EM70" s="43">
        <v>0</v>
      </c>
      <c r="EN70" s="43">
        <v>0</v>
      </c>
      <c r="EO70" s="43">
        <v>0</v>
      </c>
      <c r="EP70" s="43">
        <v>6.74536256324E-4</v>
      </c>
      <c r="EQ70" s="43">
        <v>0</v>
      </c>
      <c r="ER70" s="43">
        <v>0</v>
      </c>
      <c r="ES70" s="43">
        <v>0</v>
      </c>
      <c r="ET70" s="43">
        <v>0</v>
      </c>
      <c r="EU70" s="43">
        <v>0</v>
      </c>
      <c r="EV70" s="43">
        <v>0</v>
      </c>
      <c r="EW70" s="43">
        <v>0</v>
      </c>
      <c r="EX70" s="43">
        <v>0</v>
      </c>
      <c r="EY70" s="43">
        <v>2.1416526138300002E-2</v>
      </c>
      <c r="EZ70" s="43">
        <v>0</v>
      </c>
      <c r="FA70" s="43">
        <v>0</v>
      </c>
      <c r="FB70" s="43">
        <v>0</v>
      </c>
      <c r="FC70" s="43">
        <v>0</v>
      </c>
      <c r="FD70" s="43">
        <v>0</v>
      </c>
      <c r="FE70" s="43">
        <v>0</v>
      </c>
      <c r="FF70" s="43">
        <v>0</v>
      </c>
      <c r="FG70" s="43">
        <v>0</v>
      </c>
      <c r="FH70" s="43">
        <v>0</v>
      </c>
      <c r="FI70" s="43">
        <v>0</v>
      </c>
      <c r="FJ70" s="43">
        <v>0</v>
      </c>
      <c r="FK70" s="43">
        <v>0</v>
      </c>
      <c r="FL70" s="43">
        <v>0</v>
      </c>
      <c r="FM70" s="43">
        <v>0</v>
      </c>
      <c r="FN70" s="43">
        <v>0</v>
      </c>
      <c r="FO70" s="43">
        <v>0</v>
      </c>
      <c r="FP70" s="43">
        <v>0</v>
      </c>
      <c r="FQ70" s="43">
        <v>0</v>
      </c>
      <c r="FR70" s="43">
        <v>0</v>
      </c>
      <c r="FS70" s="43">
        <v>0</v>
      </c>
      <c r="FT70" s="43">
        <v>0</v>
      </c>
      <c r="FU70" s="43">
        <v>0</v>
      </c>
      <c r="FV70" s="43">
        <v>0</v>
      </c>
      <c r="FW70" s="43">
        <v>0</v>
      </c>
      <c r="FX70" s="43">
        <v>0</v>
      </c>
      <c r="FY70" s="43">
        <v>0</v>
      </c>
      <c r="FZ70" s="43">
        <v>0</v>
      </c>
      <c r="GA70" s="43">
        <v>0</v>
      </c>
      <c r="GB70" s="43">
        <v>1.18043844857E-3</v>
      </c>
      <c r="GC70" s="43">
        <v>7.4536256323799996E-2</v>
      </c>
      <c r="GD70" s="43">
        <v>0</v>
      </c>
    </row>
    <row r="71" spans="1:186" ht="16.5" x14ac:dyDescent="0.3">
      <c r="A71" s="21" t="s">
        <v>367</v>
      </c>
      <c r="B71" s="57" t="s">
        <v>287</v>
      </c>
      <c r="C71" s="23">
        <v>10</v>
      </c>
      <c r="D71" s="23" t="s">
        <v>183</v>
      </c>
      <c r="E71" s="24" t="s">
        <v>184</v>
      </c>
      <c r="F71" s="25" t="s">
        <v>368</v>
      </c>
      <c r="G71" s="26" t="s">
        <v>289</v>
      </c>
      <c r="H71" s="26" t="s">
        <v>184</v>
      </c>
      <c r="I71" s="27">
        <v>10</v>
      </c>
      <c r="J71" s="27">
        <v>149</v>
      </c>
      <c r="K71" s="27">
        <v>40</v>
      </c>
      <c r="L71" s="28">
        <f t="shared" si="24"/>
        <v>18.017206432142697</v>
      </c>
      <c r="M71" s="29">
        <v>72</v>
      </c>
      <c r="N71" s="30" t="s">
        <v>186</v>
      </c>
      <c r="O71" s="30" t="s">
        <v>186</v>
      </c>
      <c r="P71" s="30" t="s">
        <v>186</v>
      </c>
      <c r="Q71" s="30" t="s">
        <v>186</v>
      </c>
      <c r="R71" s="30" t="s">
        <v>186</v>
      </c>
      <c r="S71" s="30" t="s">
        <v>186</v>
      </c>
      <c r="T71" s="30" t="s">
        <v>186</v>
      </c>
      <c r="U71" s="30" t="s">
        <v>186</v>
      </c>
      <c r="V71" s="30" t="s">
        <v>369</v>
      </c>
      <c r="W71" s="30" t="s">
        <v>186</v>
      </c>
      <c r="X71" s="25">
        <v>12156.044746844154</v>
      </c>
      <c r="Y71" s="25">
        <v>4259.3024894664986</v>
      </c>
      <c r="Z71" s="25">
        <v>1104.0570719112798</v>
      </c>
      <c r="AA71" s="25">
        <v>6716.1541373618738</v>
      </c>
      <c r="AB71" s="25">
        <v>1523.8615086442364</v>
      </c>
      <c r="AC71" s="25">
        <v>1459.0504301506423</v>
      </c>
      <c r="AD71" s="32">
        <v>37.549999999999997</v>
      </c>
      <c r="AE71" s="32">
        <v>21.105</v>
      </c>
      <c r="AF71" s="23" t="s">
        <v>183</v>
      </c>
      <c r="AG71" s="33">
        <v>80.599999999999994</v>
      </c>
      <c r="AH71" s="33">
        <v>15.5</v>
      </c>
      <c r="AI71" s="34">
        <f t="shared" si="20"/>
        <v>26.184863523573203</v>
      </c>
      <c r="AJ71" s="34">
        <f t="shared" si="21"/>
        <v>136.16129032258064</v>
      </c>
      <c r="AK71" s="35">
        <v>80.599999999999994</v>
      </c>
      <c r="AL71" s="58">
        <f t="shared" si="22"/>
        <v>26.184863523573203</v>
      </c>
      <c r="AM71" s="37">
        <v>15.5</v>
      </c>
      <c r="AN71" s="59">
        <f t="shared" si="23"/>
        <v>136.16129032258064</v>
      </c>
      <c r="AO71" s="39">
        <v>3058442.3704643701</v>
      </c>
      <c r="AP71" s="39">
        <v>5893447.4337184401</v>
      </c>
      <c r="AQ71" s="39">
        <v>3199365.1588963401</v>
      </c>
      <c r="AR71" s="39">
        <v>3922214.0510542002</v>
      </c>
      <c r="AT71" s="47">
        <v>0.10236087689700001</v>
      </c>
      <c r="AU71" s="47">
        <v>0.53642495784099997</v>
      </c>
      <c r="AV71" s="47">
        <v>3.2209106239499997E-2</v>
      </c>
      <c r="AW71" s="47">
        <v>1.21416526138E-2</v>
      </c>
      <c r="AX71" s="47">
        <v>0</v>
      </c>
      <c r="AY71" s="47">
        <v>0.307082630691</v>
      </c>
      <c r="AZ71" s="47">
        <v>7.41989881956E-3</v>
      </c>
      <c r="BA71" s="47">
        <v>1.85497470489E-3</v>
      </c>
      <c r="BB71" s="47">
        <v>5.0590219224299997E-4</v>
      </c>
      <c r="BC71" s="47">
        <v>0</v>
      </c>
      <c r="BD71" s="47">
        <v>0</v>
      </c>
      <c r="BE71" s="47">
        <v>0</v>
      </c>
      <c r="BF71" s="47">
        <v>0</v>
      </c>
      <c r="BG71" s="48"/>
      <c r="BH71" s="43">
        <v>5.0590219224299997E-4</v>
      </c>
      <c r="BI71" s="43">
        <v>0</v>
      </c>
      <c r="BJ71" s="43">
        <v>7.41989881956E-3</v>
      </c>
      <c r="BK71" s="43">
        <v>0</v>
      </c>
      <c r="BL71" s="43">
        <v>0</v>
      </c>
      <c r="BM71" s="43">
        <v>3.2040472175400001E-3</v>
      </c>
      <c r="BN71" s="43">
        <v>0</v>
      </c>
      <c r="BO71" s="43">
        <v>0</v>
      </c>
      <c r="BP71" s="43">
        <v>0</v>
      </c>
      <c r="BQ71" s="43">
        <v>0</v>
      </c>
      <c r="BR71" s="43">
        <v>0</v>
      </c>
      <c r="BS71" s="43">
        <v>0</v>
      </c>
      <c r="BT71" s="43">
        <v>0.15446880269800001</v>
      </c>
      <c r="BU71" s="43">
        <v>0</v>
      </c>
      <c r="BV71" s="43">
        <v>2.3608768971300001E-2</v>
      </c>
      <c r="BW71" s="43">
        <v>1.48397976391E-2</v>
      </c>
      <c r="BX71" s="43">
        <v>0.110961214165</v>
      </c>
      <c r="BY71" s="43">
        <v>0</v>
      </c>
      <c r="BZ71" s="43">
        <v>0</v>
      </c>
      <c r="CA71" s="43">
        <v>4.2158516020200003E-3</v>
      </c>
      <c r="CB71" s="43">
        <v>3.3726812816200001E-3</v>
      </c>
      <c r="CC71" s="43">
        <v>0</v>
      </c>
      <c r="CD71" s="43">
        <v>0</v>
      </c>
      <c r="CE71" s="43">
        <v>4.3844856661000003E-3</v>
      </c>
      <c r="CF71" s="43">
        <v>0</v>
      </c>
      <c r="CG71" s="43">
        <v>1.68634064081E-4</v>
      </c>
      <c r="CH71" s="43">
        <v>0</v>
      </c>
      <c r="CI71" s="43">
        <v>0</v>
      </c>
      <c r="CJ71" s="43">
        <v>0</v>
      </c>
      <c r="CK71" s="43">
        <v>0</v>
      </c>
      <c r="CL71" s="43">
        <v>0</v>
      </c>
      <c r="CM71" s="43">
        <v>0</v>
      </c>
      <c r="CN71" s="43">
        <v>0</v>
      </c>
      <c r="CO71" s="43">
        <v>0</v>
      </c>
      <c r="CP71" s="43">
        <v>0</v>
      </c>
      <c r="CQ71" s="43">
        <v>0</v>
      </c>
      <c r="CR71" s="43">
        <v>0</v>
      </c>
      <c r="CS71" s="43">
        <v>0</v>
      </c>
      <c r="CT71" s="43">
        <v>0</v>
      </c>
      <c r="CU71" s="43">
        <v>0</v>
      </c>
      <c r="CV71" s="43">
        <v>0</v>
      </c>
      <c r="CW71" s="43">
        <v>0</v>
      </c>
      <c r="CX71" s="43">
        <v>0</v>
      </c>
      <c r="CY71" s="43">
        <v>0</v>
      </c>
      <c r="CZ71" s="43">
        <v>5.0590219224299997E-4</v>
      </c>
      <c r="DA71" s="43">
        <v>0</v>
      </c>
      <c r="DB71" s="43">
        <v>0</v>
      </c>
      <c r="DC71" s="43">
        <v>0</v>
      </c>
      <c r="DD71" s="43">
        <v>4.1652613828E-2</v>
      </c>
      <c r="DE71" s="43">
        <v>0</v>
      </c>
      <c r="DF71" s="43">
        <v>0</v>
      </c>
      <c r="DG71" s="43">
        <v>1.7875210792599999E-2</v>
      </c>
      <c r="DH71" s="43">
        <v>8.6003372681300004E-3</v>
      </c>
      <c r="DI71" s="43">
        <v>0</v>
      </c>
      <c r="DJ71" s="43">
        <v>0</v>
      </c>
      <c r="DK71" s="43">
        <v>0</v>
      </c>
      <c r="DL71" s="43">
        <v>0</v>
      </c>
      <c r="DM71" s="43">
        <v>0</v>
      </c>
      <c r="DN71" s="43">
        <v>0</v>
      </c>
      <c r="DO71" s="43">
        <v>0</v>
      </c>
      <c r="DP71" s="43">
        <v>0</v>
      </c>
      <c r="DQ71" s="43">
        <v>3.9291736930899997E-2</v>
      </c>
      <c r="DR71" s="43">
        <v>1.36593591906E-2</v>
      </c>
      <c r="DS71" s="43">
        <v>2.1922428330500001E-3</v>
      </c>
      <c r="DT71" s="43">
        <v>3.37268128162E-4</v>
      </c>
      <c r="DU71" s="43">
        <v>1.68634064081E-3</v>
      </c>
      <c r="DV71" s="43">
        <v>0</v>
      </c>
      <c r="DW71" s="43">
        <v>0</v>
      </c>
      <c r="DX71" s="43">
        <v>3.37268128162E-4</v>
      </c>
      <c r="DY71" s="43">
        <v>0</v>
      </c>
      <c r="DZ71" s="43">
        <v>4.0640809443500001E-2</v>
      </c>
      <c r="EA71" s="43">
        <v>0</v>
      </c>
      <c r="EB71" s="43">
        <v>6.02023608769E-2</v>
      </c>
      <c r="EC71" s="43">
        <v>6.74536256324E-4</v>
      </c>
      <c r="ED71" s="43">
        <v>0.171838111298</v>
      </c>
      <c r="EE71" s="43">
        <v>3.5075885328800002E-2</v>
      </c>
      <c r="EF71" s="43">
        <v>5.0590219224299997E-4</v>
      </c>
      <c r="EG71" s="43">
        <v>5.7166947723400002E-2</v>
      </c>
      <c r="EH71" s="43">
        <v>0</v>
      </c>
      <c r="EI71" s="43">
        <v>3.5413153457000003E-2</v>
      </c>
      <c r="EJ71" s="43">
        <v>0</v>
      </c>
      <c r="EK71" s="43">
        <v>0</v>
      </c>
      <c r="EL71" s="43">
        <v>0</v>
      </c>
      <c r="EM71" s="43">
        <v>0</v>
      </c>
      <c r="EN71" s="43">
        <v>0</v>
      </c>
      <c r="EO71" s="43">
        <v>0</v>
      </c>
      <c r="EP71" s="43">
        <v>6.7453625632400002E-3</v>
      </c>
      <c r="EQ71" s="43">
        <v>0</v>
      </c>
      <c r="ER71" s="43">
        <v>0</v>
      </c>
      <c r="ES71" s="43">
        <v>0</v>
      </c>
      <c r="ET71" s="43">
        <v>0</v>
      </c>
      <c r="EU71" s="43">
        <v>0</v>
      </c>
      <c r="EV71" s="43">
        <v>0</v>
      </c>
      <c r="EW71" s="43">
        <v>0</v>
      </c>
      <c r="EX71" s="43">
        <v>0</v>
      </c>
      <c r="EY71" s="43">
        <v>0</v>
      </c>
      <c r="EZ71" s="43">
        <v>0</v>
      </c>
      <c r="FA71" s="43">
        <v>0</v>
      </c>
      <c r="FB71" s="43">
        <v>0</v>
      </c>
      <c r="FC71" s="43">
        <v>0</v>
      </c>
      <c r="FD71" s="43">
        <v>0</v>
      </c>
      <c r="FE71" s="43">
        <v>2.0236087689700002E-3</v>
      </c>
      <c r="FF71" s="43">
        <v>0</v>
      </c>
      <c r="FG71" s="43">
        <v>0</v>
      </c>
      <c r="FH71" s="43">
        <v>0</v>
      </c>
      <c r="FI71" s="43">
        <v>0</v>
      </c>
      <c r="FJ71" s="43">
        <v>0</v>
      </c>
      <c r="FK71" s="43">
        <v>0</v>
      </c>
      <c r="FL71" s="43">
        <v>0</v>
      </c>
      <c r="FM71" s="43">
        <v>0</v>
      </c>
      <c r="FN71" s="43">
        <v>0</v>
      </c>
      <c r="FO71" s="43">
        <v>3.2209106239499997E-2</v>
      </c>
      <c r="FP71" s="43">
        <v>0</v>
      </c>
      <c r="FQ71" s="43">
        <v>0</v>
      </c>
      <c r="FR71" s="43">
        <v>0</v>
      </c>
      <c r="FS71" s="43">
        <v>0</v>
      </c>
      <c r="FT71" s="43">
        <v>0</v>
      </c>
      <c r="FU71" s="43">
        <v>0</v>
      </c>
      <c r="FV71" s="43">
        <v>0</v>
      </c>
      <c r="FW71" s="43">
        <v>0</v>
      </c>
      <c r="FX71" s="43">
        <v>0</v>
      </c>
      <c r="FY71" s="43">
        <v>0</v>
      </c>
      <c r="FZ71" s="43">
        <v>0</v>
      </c>
      <c r="GA71" s="43">
        <v>0</v>
      </c>
      <c r="GB71" s="43">
        <v>1.85497470489E-3</v>
      </c>
      <c r="GC71" s="43">
        <v>0.10236087689700001</v>
      </c>
      <c r="GD71" s="43">
        <v>0</v>
      </c>
    </row>
    <row r="72" spans="1:186" ht="16.5" x14ac:dyDescent="0.3">
      <c r="A72" s="21" t="s">
        <v>370</v>
      </c>
      <c r="B72" s="57" t="s">
        <v>287</v>
      </c>
      <c r="C72" s="23">
        <v>10</v>
      </c>
      <c r="D72" s="23" t="s">
        <v>183</v>
      </c>
      <c r="E72" s="24" t="s">
        <v>184</v>
      </c>
      <c r="F72" s="25" t="s">
        <v>371</v>
      </c>
      <c r="G72" s="26" t="s">
        <v>289</v>
      </c>
      <c r="H72" s="26" t="s">
        <v>184</v>
      </c>
      <c r="I72" s="27">
        <v>10</v>
      </c>
      <c r="J72" s="27">
        <v>148</v>
      </c>
      <c r="K72" s="27">
        <v>53</v>
      </c>
      <c r="L72" s="28">
        <f t="shared" si="24"/>
        <v>24.196493791088386</v>
      </c>
      <c r="M72" s="29">
        <v>97</v>
      </c>
      <c r="N72" s="30" t="s">
        <v>186</v>
      </c>
      <c r="O72" s="30" t="s">
        <v>186</v>
      </c>
      <c r="P72" s="30" t="s">
        <v>186</v>
      </c>
      <c r="Q72" s="30" t="s">
        <v>186</v>
      </c>
      <c r="R72" s="30" t="s">
        <v>186</v>
      </c>
      <c r="S72" s="30" t="s">
        <v>186</v>
      </c>
      <c r="T72" s="30" t="s">
        <v>186</v>
      </c>
      <c r="U72" s="30" t="s">
        <v>186</v>
      </c>
      <c r="V72" s="30" t="s">
        <v>186</v>
      </c>
      <c r="W72" s="30" t="s">
        <v>186</v>
      </c>
      <c r="X72" s="25">
        <v>19069.507300941576</v>
      </c>
      <c r="Y72" s="25">
        <v>6227.0781557045939</v>
      </c>
      <c r="Z72" s="25">
        <v>773.73626211563806</v>
      </c>
      <c r="AA72" s="25">
        <v>8230.6467987828237</v>
      </c>
      <c r="AB72" s="25">
        <v>1383.8600867447135</v>
      </c>
      <c r="AC72" s="25">
        <v>1879.7255292401251</v>
      </c>
      <c r="AD72" s="32">
        <v>64.5</v>
      </c>
      <c r="AE72" s="32">
        <v>42.442500000000003</v>
      </c>
      <c r="AF72" s="23" t="s">
        <v>183</v>
      </c>
      <c r="AG72" s="33">
        <v>80.599999999999994</v>
      </c>
      <c r="AH72" s="33">
        <v>15.5</v>
      </c>
      <c r="AI72" s="34">
        <f t="shared" si="20"/>
        <v>52.658188585607945</v>
      </c>
      <c r="AJ72" s="34">
        <f t="shared" si="21"/>
        <v>273.82258064516128</v>
      </c>
      <c r="AK72" s="35">
        <v>80.599999999999994</v>
      </c>
      <c r="AL72" s="58">
        <f t="shared" si="22"/>
        <v>52.658188585607945</v>
      </c>
      <c r="AM72" s="37">
        <v>15.5</v>
      </c>
      <c r="AN72" s="59">
        <f t="shared" si="23"/>
        <v>273.82258064516128</v>
      </c>
      <c r="AO72" s="39">
        <v>901625.88528793899</v>
      </c>
      <c r="AP72" s="39">
        <v>175705848.36272901</v>
      </c>
      <c r="AQ72" s="39">
        <v>2369196.3760990798</v>
      </c>
      <c r="AR72" s="39">
        <v>1162249.5391629899</v>
      </c>
      <c r="AT72" s="47">
        <v>0.13827993254599999</v>
      </c>
      <c r="AU72" s="47">
        <v>0.80084317031999996</v>
      </c>
      <c r="AV72" s="47">
        <v>8.4317032040500002E-4</v>
      </c>
      <c r="AW72" s="47">
        <v>0</v>
      </c>
      <c r="AX72" s="47">
        <v>0</v>
      </c>
      <c r="AY72" s="47">
        <v>6.0033726812800003E-2</v>
      </c>
      <c r="AZ72" s="47">
        <v>0</v>
      </c>
      <c r="BA72" s="47">
        <v>0</v>
      </c>
      <c r="BB72" s="47">
        <v>0</v>
      </c>
      <c r="BC72" s="47">
        <v>0</v>
      </c>
      <c r="BD72" s="47">
        <v>0</v>
      </c>
      <c r="BE72" s="47">
        <v>0</v>
      </c>
      <c r="BF72" s="47">
        <v>0</v>
      </c>
      <c r="BG72" s="48"/>
      <c r="BH72" s="43">
        <v>0</v>
      </c>
      <c r="BI72" s="43">
        <v>0</v>
      </c>
      <c r="BJ72" s="43">
        <v>0</v>
      </c>
      <c r="BK72" s="43">
        <v>0</v>
      </c>
      <c r="BL72" s="43">
        <v>0</v>
      </c>
      <c r="BM72" s="43">
        <v>1.85497470489E-3</v>
      </c>
      <c r="BN72" s="43">
        <v>0</v>
      </c>
      <c r="BO72" s="43">
        <v>0</v>
      </c>
      <c r="BP72" s="43">
        <v>0</v>
      </c>
      <c r="BQ72" s="43">
        <v>0</v>
      </c>
      <c r="BR72" s="43">
        <v>0</v>
      </c>
      <c r="BS72" s="43">
        <v>0</v>
      </c>
      <c r="BT72" s="43">
        <v>0</v>
      </c>
      <c r="BU72" s="43">
        <v>2.7824620573399999E-2</v>
      </c>
      <c r="BV72" s="43">
        <v>0</v>
      </c>
      <c r="BW72" s="43">
        <v>0</v>
      </c>
      <c r="BX72" s="43">
        <v>9.2748735244500002E-3</v>
      </c>
      <c r="BY72" s="43">
        <v>2.1079258010100001E-2</v>
      </c>
      <c r="BZ72" s="43">
        <v>0</v>
      </c>
      <c r="CA72" s="43">
        <v>0</v>
      </c>
      <c r="CB72" s="43">
        <v>0</v>
      </c>
      <c r="CC72" s="43">
        <v>0</v>
      </c>
      <c r="CD72" s="43">
        <v>0</v>
      </c>
      <c r="CE72" s="43">
        <v>0</v>
      </c>
      <c r="CF72" s="43">
        <v>0</v>
      </c>
      <c r="CG72" s="43">
        <v>0</v>
      </c>
      <c r="CH72" s="43">
        <v>0</v>
      </c>
      <c r="CI72" s="43">
        <v>0</v>
      </c>
      <c r="CJ72" s="43">
        <v>0</v>
      </c>
      <c r="CK72" s="43">
        <v>0</v>
      </c>
      <c r="CL72" s="43">
        <v>0</v>
      </c>
      <c r="CM72" s="43">
        <v>0</v>
      </c>
      <c r="CN72" s="43">
        <v>0</v>
      </c>
      <c r="CO72" s="43">
        <v>0</v>
      </c>
      <c r="CP72" s="43">
        <v>0</v>
      </c>
      <c r="CQ72" s="43">
        <v>0</v>
      </c>
      <c r="CR72" s="43">
        <v>0</v>
      </c>
      <c r="CS72" s="43">
        <v>0</v>
      </c>
      <c r="CT72" s="43">
        <v>0</v>
      </c>
      <c r="CU72" s="43">
        <v>0</v>
      </c>
      <c r="CV72" s="43">
        <v>0</v>
      </c>
      <c r="CW72" s="43">
        <v>0</v>
      </c>
      <c r="CX72" s="43">
        <v>0</v>
      </c>
      <c r="CY72" s="43">
        <v>0</v>
      </c>
      <c r="CZ72" s="43">
        <v>0</v>
      </c>
      <c r="DA72" s="43">
        <v>0</v>
      </c>
      <c r="DB72" s="43">
        <v>0</v>
      </c>
      <c r="DC72" s="43">
        <v>5.0590219224299999E-3</v>
      </c>
      <c r="DD72" s="43">
        <v>7.41989881956E-3</v>
      </c>
      <c r="DE72" s="43">
        <v>0</v>
      </c>
      <c r="DF72" s="43">
        <v>0</v>
      </c>
      <c r="DG72" s="43">
        <v>0.135244519393</v>
      </c>
      <c r="DH72" s="43">
        <v>0</v>
      </c>
      <c r="DI72" s="43">
        <v>0</v>
      </c>
      <c r="DJ72" s="43">
        <v>0</v>
      </c>
      <c r="DK72" s="43">
        <v>0</v>
      </c>
      <c r="DL72" s="43">
        <v>0</v>
      </c>
      <c r="DM72" s="43">
        <v>0</v>
      </c>
      <c r="DN72" s="43">
        <v>0</v>
      </c>
      <c r="DO72" s="43">
        <v>0</v>
      </c>
      <c r="DP72" s="43">
        <v>0</v>
      </c>
      <c r="DQ72" s="43">
        <v>0.16610455312</v>
      </c>
      <c r="DR72" s="43">
        <v>1.14671163575E-2</v>
      </c>
      <c r="DS72" s="43">
        <v>0.170489038786</v>
      </c>
      <c r="DT72" s="43">
        <v>0</v>
      </c>
      <c r="DU72" s="43">
        <v>8.7183811129800004E-2</v>
      </c>
      <c r="DV72" s="43">
        <v>0</v>
      </c>
      <c r="DW72" s="43">
        <v>0</v>
      </c>
      <c r="DX72" s="43">
        <v>0</v>
      </c>
      <c r="DY72" s="43">
        <v>1.68634064081E-4</v>
      </c>
      <c r="DZ72" s="43">
        <v>0</v>
      </c>
      <c r="EA72" s="43">
        <v>0</v>
      </c>
      <c r="EB72" s="43">
        <v>6.3069139966299995E-2</v>
      </c>
      <c r="EC72" s="43">
        <v>0</v>
      </c>
      <c r="ED72" s="43">
        <v>7.0826306914000001E-3</v>
      </c>
      <c r="EE72" s="43">
        <v>4.1146711635799998E-2</v>
      </c>
      <c r="EF72" s="43">
        <v>2.5295109612100001E-3</v>
      </c>
      <c r="EG72" s="43">
        <v>1.5177065767300001E-3</v>
      </c>
      <c r="EH72" s="43">
        <v>0</v>
      </c>
      <c r="EI72" s="43">
        <v>1.5682967959499999E-2</v>
      </c>
      <c r="EJ72" s="43">
        <v>0</v>
      </c>
      <c r="EK72" s="43">
        <v>0</v>
      </c>
      <c r="EL72" s="43">
        <v>0</v>
      </c>
      <c r="EM72" s="43">
        <v>0</v>
      </c>
      <c r="EN72" s="43">
        <v>0</v>
      </c>
      <c r="EO72" s="43">
        <v>0</v>
      </c>
      <c r="EP72" s="43">
        <v>0</v>
      </c>
      <c r="EQ72" s="43">
        <v>0</v>
      </c>
      <c r="ER72" s="43">
        <v>5.0590219224299997E-4</v>
      </c>
      <c r="ES72" s="43">
        <v>0</v>
      </c>
      <c r="ET72" s="43">
        <v>0</v>
      </c>
      <c r="EU72" s="43">
        <v>0</v>
      </c>
      <c r="EV72" s="43">
        <v>0</v>
      </c>
      <c r="EW72" s="43">
        <v>0</v>
      </c>
      <c r="EX72" s="43">
        <v>0</v>
      </c>
      <c r="EY72" s="43">
        <v>8.4822934232700001E-2</v>
      </c>
      <c r="EZ72" s="43">
        <v>0</v>
      </c>
      <c r="FA72" s="43">
        <v>1.3490725126499999E-3</v>
      </c>
      <c r="FB72" s="43">
        <v>0</v>
      </c>
      <c r="FC72" s="43">
        <v>0</v>
      </c>
      <c r="FD72" s="43">
        <v>0</v>
      </c>
      <c r="FE72" s="43">
        <v>0</v>
      </c>
      <c r="FF72" s="43">
        <v>0</v>
      </c>
      <c r="FG72" s="43">
        <v>0</v>
      </c>
      <c r="FH72" s="43">
        <v>0</v>
      </c>
      <c r="FI72" s="43">
        <v>0</v>
      </c>
      <c r="FJ72" s="43">
        <v>0</v>
      </c>
      <c r="FK72" s="43">
        <v>0</v>
      </c>
      <c r="FL72" s="43">
        <v>8.4317032040500002E-4</v>
      </c>
      <c r="FM72" s="43">
        <v>0</v>
      </c>
      <c r="FN72" s="43">
        <v>0</v>
      </c>
      <c r="FO72" s="43">
        <v>0</v>
      </c>
      <c r="FP72" s="43">
        <v>0</v>
      </c>
      <c r="FQ72" s="43">
        <v>0</v>
      </c>
      <c r="FR72" s="43">
        <v>0</v>
      </c>
      <c r="FS72" s="43">
        <v>0</v>
      </c>
      <c r="FT72" s="43">
        <v>0</v>
      </c>
      <c r="FU72" s="43">
        <v>0</v>
      </c>
      <c r="FV72" s="43">
        <v>0</v>
      </c>
      <c r="FW72" s="43">
        <v>0</v>
      </c>
      <c r="FX72" s="43">
        <v>0</v>
      </c>
      <c r="FY72" s="43">
        <v>0</v>
      </c>
      <c r="FZ72" s="43">
        <v>0</v>
      </c>
      <c r="GA72" s="43">
        <v>0</v>
      </c>
      <c r="GB72" s="43">
        <v>0</v>
      </c>
      <c r="GC72" s="43">
        <v>0.13827993254599999</v>
      </c>
      <c r="GD72" s="43">
        <v>0</v>
      </c>
    </row>
    <row r="73" spans="1:186" ht="16.5" x14ac:dyDescent="0.3">
      <c r="A73" s="21" t="s">
        <v>372</v>
      </c>
      <c r="B73" s="57" t="s">
        <v>287</v>
      </c>
      <c r="C73" s="23">
        <v>10</v>
      </c>
      <c r="D73" s="23" t="s">
        <v>183</v>
      </c>
      <c r="E73" s="24" t="s">
        <v>243</v>
      </c>
      <c r="F73" s="25" t="s">
        <v>373</v>
      </c>
      <c r="G73" s="26" t="s">
        <v>289</v>
      </c>
      <c r="H73" s="51" t="s">
        <v>243</v>
      </c>
      <c r="I73" s="52">
        <v>10</v>
      </c>
      <c r="J73" s="52">
        <v>140</v>
      </c>
      <c r="K73" s="52">
        <v>29</v>
      </c>
      <c r="L73" s="53">
        <f t="shared" si="24"/>
        <v>14.795918367346941</v>
      </c>
      <c r="M73" s="54">
        <v>14</v>
      </c>
      <c r="N73" s="30" t="s">
        <v>186</v>
      </c>
      <c r="O73" s="30" t="s">
        <v>186</v>
      </c>
      <c r="P73" s="30" t="s">
        <v>186</v>
      </c>
      <c r="Q73" s="30" t="s">
        <v>186</v>
      </c>
      <c r="R73" s="30" t="s">
        <v>186</v>
      </c>
      <c r="S73" s="30" t="s">
        <v>186</v>
      </c>
      <c r="T73" s="30" t="s">
        <v>186</v>
      </c>
      <c r="U73" s="30" t="s">
        <v>186</v>
      </c>
      <c r="V73" s="30" t="s">
        <v>186</v>
      </c>
      <c r="W73" s="30" t="s">
        <v>186</v>
      </c>
      <c r="X73" s="25">
        <v>6164.230117881536</v>
      </c>
      <c r="Y73" s="25">
        <v>2107.4891123233247</v>
      </c>
      <c r="Z73" s="25">
        <v>226.24822588686098</v>
      </c>
      <c r="AA73" s="25">
        <v>2435.3945440807165</v>
      </c>
      <c r="AB73" s="25">
        <v>320.81810731938202</v>
      </c>
      <c r="AC73" s="25">
        <v>569.81210972682527</v>
      </c>
      <c r="AD73" s="32">
        <v>18.3</v>
      </c>
      <c r="AE73" s="32">
        <v>12.4175</v>
      </c>
      <c r="AF73" s="23" t="s">
        <v>183</v>
      </c>
      <c r="AG73" s="33">
        <v>80.599999999999994</v>
      </c>
      <c r="AH73" s="33">
        <v>15.5</v>
      </c>
      <c r="AI73" s="34">
        <f t="shared" si="20"/>
        <v>15.40632754342432</v>
      </c>
      <c r="AJ73" s="34">
        <f t="shared" si="21"/>
        <v>80.112903225806448</v>
      </c>
      <c r="AK73" s="35">
        <v>80.599999999999994</v>
      </c>
      <c r="AL73" s="58">
        <f t="shared" si="22"/>
        <v>15.40632754342432</v>
      </c>
      <c r="AM73" s="37">
        <v>15.5</v>
      </c>
      <c r="AN73" s="59">
        <f t="shared" si="23"/>
        <v>80.112903225806448</v>
      </c>
      <c r="AO73" s="39">
        <v>2715704.3361249599</v>
      </c>
      <c r="AP73" s="39">
        <v>4382896.5380539903</v>
      </c>
      <c r="AQ73" s="39">
        <v>22356714.6042239</v>
      </c>
      <c r="AR73" s="39">
        <v>31340386.3908685</v>
      </c>
      <c r="AT73" s="47">
        <v>2.0236087689700002E-3</v>
      </c>
      <c r="AU73" s="47">
        <v>0.62462057335599996</v>
      </c>
      <c r="AV73" s="47">
        <v>3.2040472175400001E-3</v>
      </c>
      <c r="AW73" s="47">
        <v>0.19156829679599999</v>
      </c>
      <c r="AX73" s="47">
        <v>0</v>
      </c>
      <c r="AY73" s="47">
        <v>0.17858347386199999</v>
      </c>
      <c r="AZ73" s="47">
        <v>0</v>
      </c>
      <c r="BA73" s="47">
        <v>0</v>
      </c>
      <c r="BB73" s="47">
        <v>0</v>
      </c>
      <c r="BC73" s="47">
        <v>0</v>
      </c>
      <c r="BD73" s="47">
        <v>0</v>
      </c>
      <c r="BE73" s="47">
        <v>0</v>
      </c>
      <c r="BF73" s="47">
        <v>0</v>
      </c>
      <c r="BG73" s="48"/>
      <c r="BH73" s="43">
        <v>0</v>
      </c>
      <c r="BI73" s="43">
        <v>0</v>
      </c>
      <c r="BJ73" s="43">
        <v>0</v>
      </c>
      <c r="BK73" s="43">
        <v>0</v>
      </c>
      <c r="BL73" s="43">
        <v>0</v>
      </c>
      <c r="BM73" s="43">
        <v>0</v>
      </c>
      <c r="BN73" s="43">
        <v>0</v>
      </c>
      <c r="BO73" s="43">
        <v>0</v>
      </c>
      <c r="BP73" s="43">
        <v>0</v>
      </c>
      <c r="BQ73" s="43">
        <v>0</v>
      </c>
      <c r="BR73" s="43">
        <v>0</v>
      </c>
      <c r="BS73" s="43">
        <v>0</v>
      </c>
      <c r="BT73" s="43">
        <v>6.74536256324E-4</v>
      </c>
      <c r="BU73" s="43">
        <v>7.58853288364E-3</v>
      </c>
      <c r="BV73" s="43">
        <v>1.8718381113000001E-2</v>
      </c>
      <c r="BW73" s="43">
        <v>0</v>
      </c>
      <c r="BX73" s="43">
        <v>0.15160202360899999</v>
      </c>
      <c r="BY73" s="43">
        <v>0</v>
      </c>
      <c r="BZ73" s="43">
        <v>0</v>
      </c>
      <c r="CA73" s="43">
        <v>0</v>
      </c>
      <c r="CB73" s="43">
        <v>1.6694772343999999E-2</v>
      </c>
      <c r="CC73" s="43">
        <v>3.5413153457000001E-3</v>
      </c>
      <c r="CD73" s="43">
        <v>3.37268128162E-4</v>
      </c>
      <c r="CE73" s="43">
        <v>0.16408094435100001</v>
      </c>
      <c r="CF73" s="43">
        <v>0</v>
      </c>
      <c r="CG73" s="43">
        <v>1.68634064081E-3</v>
      </c>
      <c r="CH73" s="43">
        <v>1.5177065767300001E-3</v>
      </c>
      <c r="CI73" s="43">
        <v>3.70994940978E-3</v>
      </c>
      <c r="CJ73" s="43">
        <v>0</v>
      </c>
      <c r="CK73" s="43">
        <v>0</v>
      </c>
      <c r="CL73" s="43">
        <v>0</v>
      </c>
      <c r="CM73" s="43">
        <v>0</v>
      </c>
      <c r="CN73" s="43">
        <v>0</v>
      </c>
      <c r="CO73" s="43">
        <v>0</v>
      </c>
      <c r="CP73" s="43">
        <v>0</v>
      </c>
      <c r="CQ73" s="43">
        <v>0</v>
      </c>
      <c r="CR73" s="43">
        <v>0</v>
      </c>
      <c r="CS73" s="43">
        <v>8.4317032040500002E-4</v>
      </c>
      <c r="CT73" s="43">
        <v>0</v>
      </c>
      <c r="CU73" s="43">
        <v>0</v>
      </c>
      <c r="CV73" s="43">
        <v>0</v>
      </c>
      <c r="CW73" s="43">
        <v>0</v>
      </c>
      <c r="CX73" s="43">
        <v>0</v>
      </c>
      <c r="CY73" s="43">
        <v>0</v>
      </c>
      <c r="CZ73" s="43">
        <v>2.6981450252999998E-3</v>
      </c>
      <c r="DA73" s="43">
        <v>0</v>
      </c>
      <c r="DB73" s="43">
        <v>0</v>
      </c>
      <c r="DC73" s="43">
        <v>0</v>
      </c>
      <c r="DD73" s="43">
        <v>0</v>
      </c>
      <c r="DE73" s="43">
        <v>1.5682967959499999E-2</v>
      </c>
      <c r="DF73" s="43">
        <v>0</v>
      </c>
      <c r="DG73" s="43">
        <v>0.12259696458700001</v>
      </c>
      <c r="DH73" s="43">
        <v>0</v>
      </c>
      <c r="DI73" s="43">
        <v>0</v>
      </c>
      <c r="DJ73" s="43">
        <v>0</v>
      </c>
      <c r="DK73" s="43">
        <v>2.0236087689700002E-3</v>
      </c>
      <c r="DL73" s="43">
        <v>0</v>
      </c>
      <c r="DM73" s="43">
        <v>0</v>
      </c>
      <c r="DN73" s="43">
        <v>0</v>
      </c>
      <c r="DO73" s="43">
        <v>0</v>
      </c>
      <c r="DP73" s="43">
        <v>3.37268128162E-4</v>
      </c>
      <c r="DQ73" s="43">
        <v>3.7774030354099999E-2</v>
      </c>
      <c r="DR73" s="43">
        <v>0</v>
      </c>
      <c r="DS73" s="43">
        <v>6.4080944350800003E-3</v>
      </c>
      <c r="DT73" s="43">
        <v>1.33220910624E-2</v>
      </c>
      <c r="DU73" s="43">
        <v>0</v>
      </c>
      <c r="DV73" s="43">
        <v>0</v>
      </c>
      <c r="DW73" s="43">
        <v>0</v>
      </c>
      <c r="DX73" s="43">
        <v>3.37268128162E-4</v>
      </c>
      <c r="DY73" s="43">
        <v>3.5075885328800002E-2</v>
      </c>
      <c r="DZ73" s="43">
        <v>1.68634064081E-4</v>
      </c>
      <c r="EA73" s="43">
        <v>0</v>
      </c>
      <c r="EB73" s="43">
        <v>2.0573355817899999E-2</v>
      </c>
      <c r="EC73" s="43">
        <v>0</v>
      </c>
      <c r="ED73" s="43">
        <v>0.139966273187</v>
      </c>
      <c r="EE73" s="43">
        <v>0.139966273187</v>
      </c>
      <c r="EF73" s="43">
        <v>1.85497470489E-3</v>
      </c>
      <c r="EG73" s="43">
        <v>6.7453625632400002E-3</v>
      </c>
      <c r="EH73" s="43">
        <v>1.68634064081E-3</v>
      </c>
      <c r="EI73" s="43">
        <v>0</v>
      </c>
      <c r="EJ73" s="43">
        <v>0</v>
      </c>
      <c r="EK73" s="43">
        <v>0</v>
      </c>
      <c r="EL73" s="43">
        <v>2.5295109612100001E-3</v>
      </c>
      <c r="EM73" s="43">
        <v>3.0354131534600002E-3</v>
      </c>
      <c r="EN73" s="43">
        <v>0</v>
      </c>
      <c r="EO73" s="43">
        <v>0</v>
      </c>
      <c r="EP73" s="43">
        <v>4.0472175379400004E-3</v>
      </c>
      <c r="EQ73" s="43">
        <v>0</v>
      </c>
      <c r="ER73" s="43">
        <v>0</v>
      </c>
      <c r="ES73" s="43">
        <v>0</v>
      </c>
      <c r="ET73" s="43">
        <v>0</v>
      </c>
      <c r="EU73" s="43">
        <v>0</v>
      </c>
      <c r="EV73" s="43">
        <v>0</v>
      </c>
      <c r="EW73" s="43">
        <v>0</v>
      </c>
      <c r="EX73" s="43">
        <v>0</v>
      </c>
      <c r="EY73" s="43">
        <v>3.70994940978E-3</v>
      </c>
      <c r="EZ73" s="43">
        <v>5.0590219224299997E-4</v>
      </c>
      <c r="FA73" s="43">
        <v>0</v>
      </c>
      <c r="FB73" s="43">
        <v>6.1382799325499997E-2</v>
      </c>
      <c r="FC73" s="43">
        <v>0</v>
      </c>
      <c r="FD73" s="43">
        <v>0</v>
      </c>
      <c r="FE73" s="43">
        <v>1.3490725126499999E-3</v>
      </c>
      <c r="FF73" s="43">
        <v>0</v>
      </c>
      <c r="FG73" s="43">
        <v>0</v>
      </c>
      <c r="FH73" s="43">
        <v>0</v>
      </c>
      <c r="FI73" s="43">
        <v>0</v>
      </c>
      <c r="FJ73" s="43">
        <v>0</v>
      </c>
      <c r="FK73" s="43">
        <v>0</v>
      </c>
      <c r="FL73" s="43">
        <v>0</v>
      </c>
      <c r="FM73" s="43">
        <v>0</v>
      </c>
      <c r="FN73" s="43">
        <v>0</v>
      </c>
      <c r="FO73" s="43">
        <v>3.2040472175400001E-3</v>
      </c>
      <c r="FP73" s="43">
        <v>0</v>
      </c>
      <c r="FQ73" s="43">
        <v>0</v>
      </c>
      <c r="FR73" s="43">
        <v>0</v>
      </c>
      <c r="FS73" s="43">
        <v>0</v>
      </c>
      <c r="FT73" s="43">
        <v>0</v>
      </c>
      <c r="FU73" s="43">
        <v>0</v>
      </c>
      <c r="FV73" s="43">
        <v>0</v>
      </c>
      <c r="FW73" s="43">
        <v>0</v>
      </c>
      <c r="FX73" s="43">
        <v>0</v>
      </c>
      <c r="FY73" s="43">
        <v>0</v>
      </c>
      <c r="FZ73" s="43">
        <v>0</v>
      </c>
      <c r="GA73" s="43">
        <v>0</v>
      </c>
      <c r="GB73" s="43">
        <v>0</v>
      </c>
      <c r="GC73" s="43">
        <v>2.0236087689700002E-3</v>
      </c>
      <c r="GD73" s="43">
        <v>0</v>
      </c>
    </row>
    <row r="74" spans="1:186" ht="16.5" x14ac:dyDescent="0.3">
      <c r="A74" s="21" t="s">
        <v>374</v>
      </c>
      <c r="B74" s="57" t="s">
        <v>287</v>
      </c>
      <c r="C74" s="23">
        <v>14.67</v>
      </c>
      <c r="D74" s="23" t="s">
        <v>195</v>
      </c>
      <c r="E74" s="24" t="s">
        <v>184</v>
      </c>
      <c r="F74" s="25" t="s">
        <v>375</v>
      </c>
      <c r="G74" s="26" t="s">
        <v>289</v>
      </c>
      <c r="H74" s="26" t="s">
        <v>184</v>
      </c>
      <c r="I74" s="27">
        <v>15</v>
      </c>
      <c r="J74" s="27">
        <v>170</v>
      </c>
      <c r="K74" s="27">
        <v>64</v>
      </c>
      <c r="L74" s="28">
        <f t="shared" si="24"/>
        <v>22.145328719723185</v>
      </c>
      <c r="M74" s="29">
        <v>76</v>
      </c>
      <c r="N74" s="30" t="s">
        <v>186</v>
      </c>
      <c r="O74" s="30" t="s">
        <v>186</v>
      </c>
      <c r="P74" s="30" t="s">
        <v>186</v>
      </c>
      <c r="Q74" s="30" t="s">
        <v>186</v>
      </c>
      <c r="R74" s="30" t="s">
        <v>186</v>
      </c>
      <c r="S74" s="31" t="s">
        <v>186</v>
      </c>
      <c r="T74" s="30" t="s">
        <v>186</v>
      </c>
      <c r="U74" s="30" t="s">
        <v>376</v>
      </c>
      <c r="V74" s="30" t="s">
        <v>186</v>
      </c>
      <c r="W74" s="30" t="s">
        <v>186</v>
      </c>
      <c r="X74" s="25">
        <v>2469.927237060258</v>
      </c>
      <c r="Y74" s="25">
        <v>1167.1415414856385</v>
      </c>
      <c r="Z74" s="25">
        <v>675.2428690077669</v>
      </c>
      <c r="AA74" s="25">
        <v>4017.9188372020558</v>
      </c>
      <c r="AB74" s="25">
        <v>963.78398431594258</v>
      </c>
      <c r="AC74" s="25">
        <v>969.4377701120186</v>
      </c>
      <c r="AD74" s="32">
        <v>312.45</v>
      </c>
      <c r="AE74" s="32">
        <v>18.84</v>
      </c>
      <c r="AF74" s="23" t="s">
        <v>195</v>
      </c>
      <c r="AG74" s="33">
        <v>54.4</v>
      </c>
      <c r="AH74" s="33">
        <v>13.9</v>
      </c>
      <c r="AI74" s="34">
        <f t="shared" si="20"/>
        <v>34.632352941176471</v>
      </c>
      <c r="AJ74" s="34">
        <f t="shared" si="21"/>
        <v>135.53956834532374</v>
      </c>
      <c r="AK74" s="35">
        <v>54.4</v>
      </c>
      <c r="AL74" s="58">
        <f t="shared" si="22"/>
        <v>34.632352941176471</v>
      </c>
      <c r="AM74" s="37">
        <v>13.9</v>
      </c>
      <c r="AN74" s="59">
        <f t="shared" si="23"/>
        <v>135.53956834532374</v>
      </c>
      <c r="AO74" s="39">
        <v>962678.23736625304</v>
      </c>
      <c r="AP74" s="39">
        <v>10272560.310831901</v>
      </c>
      <c r="AQ74" s="39">
        <v>3201100.4083226002</v>
      </c>
      <c r="AR74" s="39">
        <v>5529451.6406407002</v>
      </c>
      <c r="AT74" s="47">
        <v>1.83811129848E-2</v>
      </c>
      <c r="AU74" s="47">
        <v>0.52984822934200004</v>
      </c>
      <c r="AV74" s="47">
        <v>0</v>
      </c>
      <c r="AW74" s="47">
        <v>2.8667790893800001E-2</v>
      </c>
      <c r="AX74" s="47">
        <v>0</v>
      </c>
      <c r="AY74" s="47">
        <v>0.42225969645900002</v>
      </c>
      <c r="AZ74" s="47">
        <v>0</v>
      </c>
      <c r="BA74" s="47">
        <v>3.37268128162E-4</v>
      </c>
      <c r="BB74" s="47">
        <v>5.0590219224299997E-4</v>
      </c>
      <c r="BC74" s="47">
        <v>0</v>
      </c>
      <c r="BD74" s="47">
        <v>0</v>
      </c>
      <c r="BE74" s="47">
        <v>0</v>
      </c>
      <c r="BF74" s="47">
        <v>0</v>
      </c>
      <c r="BG74" s="48"/>
      <c r="BH74" s="43">
        <v>5.0590219224299997E-4</v>
      </c>
      <c r="BI74" s="43">
        <v>0</v>
      </c>
      <c r="BJ74" s="43">
        <v>0</v>
      </c>
      <c r="BK74" s="43">
        <v>0</v>
      </c>
      <c r="BL74" s="43">
        <v>0</v>
      </c>
      <c r="BM74" s="43">
        <v>1.01180438449E-3</v>
      </c>
      <c r="BN74" s="43">
        <v>0</v>
      </c>
      <c r="BO74" s="43">
        <v>0</v>
      </c>
      <c r="BP74" s="43">
        <v>0</v>
      </c>
      <c r="BQ74" s="43">
        <v>0</v>
      </c>
      <c r="BR74" s="43">
        <v>0</v>
      </c>
      <c r="BS74" s="43">
        <v>0</v>
      </c>
      <c r="BT74" s="43">
        <v>0.33086003372700001</v>
      </c>
      <c r="BU74" s="43">
        <v>0</v>
      </c>
      <c r="BV74" s="43">
        <v>3.0016863406400002E-2</v>
      </c>
      <c r="BW74" s="43">
        <v>4.89038785835E-3</v>
      </c>
      <c r="BX74" s="43">
        <v>5.5480607082599998E-2</v>
      </c>
      <c r="BY74" s="43">
        <v>0</v>
      </c>
      <c r="BZ74" s="43">
        <v>0</v>
      </c>
      <c r="CA74" s="43">
        <v>0</v>
      </c>
      <c r="CB74" s="43">
        <v>2.1416526138300002E-2</v>
      </c>
      <c r="CC74" s="43">
        <v>6.74536256324E-4</v>
      </c>
      <c r="CD74" s="43">
        <v>0</v>
      </c>
      <c r="CE74" s="43">
        <v>5.3962900505899998E-3</v>
      </c>
      <c r="CF74" s="43">
        <v>0</v>
      </c>
      <c r="CG74" s="43">
        <v>0</v>
      </c>
      <c r="CH74" s="43">
        <v>0</v>
      </c>
      <c r="CI74" s="43">
        <v>1.18043844857E-3</v>
      </c>
      <c r="CJ74" s="43">
        <v>0</v>
      </c>
      <c r="CK74" s="43">
        <v>0</v>
      </c>
      <c r="CL74" s="43">
        <v>0</v>
      </c>
      <c r="CM74" s="43">
        <v>0</v>
      </c>
      <c r="CN74" s="43">
        <v>0</v>
      </c>
      <c r="CO74" s="43">
        <v>0</v>
      </c>
      <c r="CP74" s="43">
        <v>0</v>
      </c>
      <c r="CQ74" s="43">
        <v>0</v>
      </c>
      <c r="CR74" s="43">
        <v>0</v>
      </c>
      <c r="CS74" s="43">
        <v>0</v>
      </c>
      <c r="CT74" s="43">
        <v>5.0590219224299997E-4</v>
      </c>
      <c r="CU74" s="43">
        <v>0</v>
      </c>
      <c r="CV74" s="43">
        <v>0</v>
      </c>
      <c r="CW74" s="43">
        <v>0</v>
      </c>
      <c r="CX74" s="43">
        <v>0</v>
      </c>
      <c r="CY74" s="43">
        <v>0</v>
      </c>
      <c r="CZ74" s="43">
        <v>4.3844856661000003E-3</v>
      </c>
      <c r="DA74" s="43">
        <v>0</v>
      </c>
      <c r="DB74" s="43">
        <v>0</v>
      </c>
      <c r="DC74" s="43">
        <v>2.8667790893799998E-3</v>
      </c>
      <c r="DD74" s="43">
        <v>8.1618887015199995E-2</v>
      </c>
      <c r="DE74" s="43">
        <v>0</v>
      </c>
      <c r="DF74" s="43">
        <v>0</v>
      </c>
      <c r="DG74" s="43">
        <v>9.4435075885299993E-3</v>
      </c>
      <c r="DH74" s="43">
        <v>0</v>
      </c>
      <c r="DI74" s="43">
        <v>0</v>
      </c>
      <c r="DJ74" s="43">
        <v>0</v>
      </c>
      <c r="DK74" s="43">
        <v>0</v>
      </c>
      <c r="DL74" s="43">
        <v>0</v>
      </c>
      <c r="DM74" s="43">
        <v>0</v>
      </c>
      <c r="DN74" s="43">
        <v>0</v>
      </c>
      <c r="DO74" s="43">
        <v>0</v>
      </c>
      <c r="DP74" s="43">
        <v>6.74536256324E-4</v>
      </c>
      <c r="DQ74" s="43">
        <v>2.95109612142E-2</v>
      </c>
      <c r="DR74" s="43">
        <v>0</v>
      </c>
      <c r="DS74" s="43">
        <v>7.0826306914000006E-2</v>
      </c>
      <c r="DT74" s="43">
        <v>4.72175379427E-3</v>
      </c>
      <c r="DU74" s="43">
        <v>0</v>
      </c>
      <c r="DV74" s="43">
        <v>0</v>
      </c>
      <c r="DW74" s="43">
        <v>0</v>
      </c>
      <c r="DX74" s="43">
        <v>0</v>
      </c>
      <c r="DY74" s="43">
        <v>0</v>
      </c>
      <c r="DZ74" s="43">
        <v>2.5126475548100002E-2</v>
      </c>
      <c r="EA74" s="43">
        <v>0</v>
      </c>
      <c r="EB74" s="43">
        <v>7.7908937605400005E-2</v>
      </c>
      <c r="EC74" s="43">
        <v>0</v>
      </c>
      <c r="ED74" s="43">
        <v>7.6559865092700005E-2</v>
      </c>
      <c r="EE74" s="43">
        <v>2.6981450252999998E-3</v>
      </c>
      <c r="EF74" s="43">
        <v>8.9376053962900003E-3</v>
      </c>
      <c r="EG74" s="43">
        <v>2.8667790893799998E-3</v>
      </c>
      <c r="EH74" s="43">
        <v>0</v>
      </c>
      <c r="EI74" s="43">
        <v>0</v>
      </c>
      <c r="EJ74" s="43">
        <v>0</v>
      </c>
      <c r="EK74" s="43">
        <v>0</v>
      </c>
      <c r="EL74" s="43">
        <v>0</v>
      </c>
      <c r="EM74" s="43">
        <v>0</v>
      </c>
      <c r="EN74" s="43">
        <v>0</v>
      </c>
      <c r="EO74" s="43">
        <v>0</v>
      </c>
      <c r="EP74" s="43">
        <v>0</v>
      </c>
      <c r="EQ74" s="43">
        <v>0</v>
      </c>
      <c r="ER74" s="43">
        <v>0</v>
      </c>
      <c r="ES74" s="43">
        <v>0</v>
      </c>
      <c r="ET74" s="43">
        <v>0</v>
      </c>
      <c r="EU74" s="43">
        <v>0</v>
      </c>
      <c r="EV74" s="43">
        <v>0</v>
      </c>
      <c r="EW74" s="43">
        <v>0</v>
      </c>
      <c r="EX74" s="43">
        <v>0</v>
      </c>
      <c r="EY74" s="43">
        <v>0.12984822934199999</v>
      </c>
      <c r="EZ74" s="43">
        <v>0</v>
      </c>
      <c r="FA74" s="43">
        <v>0</v>
      </c>
      <c r="FB74" s="43">
        <v>0</v>
      </c>
      <c r="FC74" s="43">
        <v>1.3490725126499999E-3</v>
      </c>
      <c r="FD74" s="43">
        <v>0</v>
      </c>
      <c r="FE74" s="43">
        <v>0</v>
      </c>
      <c r="FF74" s="43">
        <v>0</v>
      </c>
      <c r="FG74" s="43">
        <v>0</v>
      </c>
      <c r="FH74" s="43">
        <v>0</v>
      </c>
      <c r="FI74" s="43">
        <v>0</v>
      </c>
      <c r="FJ74" s="43">
        <v>0</v>
      </c>
      <c r="FK74" s="43">
        <v>0</v>
      </c>
      <c r="FL74" s="43">
        <v>0</v>
      </c>
      <c r="FM74" s="43">
        <v>0</v>
      </c>
      <c r="FN74" s="43">
        <v>0</v>
      </c>
      <c r="FO74" s="43">
        <v>0</v>
      </c>
      <c r="FP74" s="43">
        <v>0</v>
      </c>
      <c r="FQ74" s="43">
        <v>0</v>
      </c>
      <c r="FR74" s="43">
        <v>0</v>
      </c>
      <c r="FS74" s="43">
        <v>0</v>
      </c>
      <c r="FT74" s="43">
        <v>0</v>
      </c>
      <c r="FU74" s="43">
        <v>0</v>
      </c>
      <c r="FV74" s="43">
        <v>0</v>
      </c>
      <c r="FW74" s="43">
        <v>0</v>
      </c>
      <c r="FX74" s="43">
        <v>0</v>
      </c>
      <c r="FY74" s="43">
        <v>0</v>
      </c>
      <c r="FZ74" s="43">
        <v>0</v>
      </c>
      <c r="GA74" s="43">
        <v>0</v>
      </c>
      <c r="GB74" s="43">
        <v>3.37268128162E-4</v>
      </c>
      <c r="GC74" s="43">
        <v>1.83811129848E-2</v>
      </c>
      <c r="GD74" s="43">
        <v>0</v>
      </c>
    </row>
    <row r="75" spans="1:186" ht="16.5" x14ac:dyDescent="0.3">
      <c r="A75" s="21" t="s">
        <v>377</v>
      </c>
      <c r="B75" s="22" t="s">
        <v>1</v>
      </c>
      <c r="C75" s="23">
        <v>11</v>
      </c>
      <c r="D75" s="23" t="s">
        <v>183</v>
      </c>
      <c r="E75" s="24" t="s">
        <v>243</v>
      </c>
      <c r="F75" s="25" t="s">
        <v>378</v>
      </c>
      <c r="G75" s="26" t="s">
        <v>1</v>
      </c>
      <c r="H75" s="51" t="s">
        <v>243</v>
      </c>
      <c r="I75" s="52">
        <v>11</v>
      </c>
      <c r="J75" s="52">
        <v>140</v>
      </c>
      <c r="K75" s="52">
        <v>32</v>
      </c>
      <c r="L75" s="53">
        <f t="shared" si="24"/>
        <v>16.326530612244902</v>
      </c>
      <c r="M75" s="54">
        <v>31</v>
      </c>
      <c r="N75" s="30" t="s">
        <v>186</v>
      </c>
      <c r="O75" s="30" t="s">
        <v>186</v>
      </c>
      <c r="P75" s="30" t="s">
        <v>186</v>
      </c>
      <c r="Q75" s="30" t="s">
        <v>186</v>
      </c>
      <c r="R75" s="30" t="s">
        <v>186</v>
      </c>
      <c r="S75" s="31" t="s">
        <v>186</v>
      </c>
      <c r="T75" s="30" t="s">
        <v>186</v>
      </c>
      <c r="U75" s="30" t="s">
        <v>379</v>
      </c>
      <c r="V75" s="30" t="s">
        <v>207</v>
      </c>
      <c r="W75" s="30" t="s">
        <v>186</v>
      </c>
      <c r="X75" s="25">
        <v>3783.7223171445517</v>
      </c>
      <c r="Y75" s="25">
        <v>2053.3837714910305</v>
      </c>
      <c r="Z75" s="25">
        <v>606.62139564421523</v>
      </c>
      <c r="AA75" s="25">
        <v>5997.2649994237527</v>
      </c>
      <c r="AB75" s="25">
        <v>389.42289761799623</v>
      </c>
      <c r="AC75" s="25">
        <v>960.80818046447826</v>
      </c>
      <c r="AD75" s="32">
        <v>65.8</v>
      </c>
      <c r="AE75" s="32">
        <v>15.307499999999999</v>
      </c>
      <c r="AF75" s="23" t="s">
        <v>183</v>
      </c>
      <c r="AG75" s="33">
        <v>66.2</v>
      </c>
      <c r="AH75" s="33">
        <v>14.7</v>
      </c>
      <c r="AI75" s="34">
        <f t="shared" si="20"/>
        <v>23.123111782477341</v>
      </c>
      <c r="AJ75" s="34">
        <f t="shared" si="21"/>
        <v>104.1326530612245</v>
      </c>
      <c r="AK75" s="35">
        <v>66.2</v>
      </c>
      <c r="AL75" s="36">
        <f t="shared" si="22"/>
        <v>23.123111782477341</v>
      </c>
      <c r="AM75" s="37">
        <v>14.7</v>
      </c>
      <c r="AN75" s="38">
        <f t="shared" si="23"/>
        <v>104.1326530612245</v>
      </c>
      <c r="AO75" s="39">
        <v>1523073.4487751101</v>
      </c>
      <c r="AP75" s="39">
        <v>185922054.16345099</v>
      </c>
      <c r="AQ75" s="39">
        <v>2421293.0491894102</v>
      </c>
      <c r="AR75" s="39">
        <v>17093614.784122299</v>
      </c>
      <c r="AT75" s="47">
        <v>0</v>
      </c>
      <c r="AU75" s="47">
        <v>0.671332209106</v>
      </c>
      <c r="AV75" s="47">
        <v>1.70320404722E-2</v>
      </c>
      <c r="AW75" s="47">
        <v>0.17234401349100001</v>
      </c>
      <c r="AX75" s="47">
        <v>0</v>
      </c>
      <c r="AY75" s="47">
        <v>0.13676222597000001</v>
      </c>
      <c r="AZ75" s="47">
        <v>0</v>
      </c>
      <c r="BA75" s="47">
        <v>0</v>
      </c>
      <c r="BB75" s="47">
        <v>3.37268128162E-4</v>
      </c>
      <c r="BC75" s="47">
        <v>0</v>
      </c>
      <c r="BD75" s="47">
        <v>0</v>
      </c>
      <c r="BE75" s="47">
        <v>2.1922428330500001E-3</v>
      </c>
      <c r="BF75" s="47">
        <v>0</v>
      </c>
      <c r="BG75" s="48"/>
      <c r="BH75" s="43">
        <v>3.37268128162E-4</v>
      </c>
      <c r="BI75" s="43">
        <v>0</v>
      </c>
      <c r="BJ75" s="43">
        <v>0</v>
      </c>
      <c r="BK75" s="43">
        <v>0</v>
      </c>
      <c r="BL75" s="43">
        <v>6.74536256324E-4</v>
      </c>
      <c r="BM75" s="43">
        <v>0</v>
      </c>
      <c r="BN75" s="43">
        <v>0</v>
      </c>
      <c r="BO75" s="43">
        <v>0</v>
      </c>
      <c r="BP75" s="43">
        <v>0</v>
      </c>
      <c r="BQ75" s="43">
        <v>0</v>
      </c>
      <c r="BR75" s="43">
        <v>0</v>
      </c>
      <c r="BS75" s="43">
        <v>5.0590219224299997E-4</v>
      </c>
      <c r="BT75" s="43">
        <v>0.135581787521</v>
      </c>
      <c r="BU75" s="43">
        <v>0</v>
      </c>
      <c r="BV75" s="43">
        <v>0</v>
      </c>
      <c r="BW75" s="43">
        <v>0</v>
      </c>
      <c r="BX75" s="43">
        <v>0</v>
      </c>
      <c r="BY75" s="43">
        <v>0</v>
      </c>
      <c r="BZ75" s="43">
        <v>0</v>
      </c>
      <c r="CA75" s="43">
        <v>0</v>
      </c>
      <c r="CB75" s="43">
        <v>0.119730185497</v>
      </c>
      <c r="CC75" s="43">
        <v>0</v>
      </c>
      <c r="CD75" s="43">
        <v>0</v>
      </c>
      <c r="CE75" s="43">
        <v>0</v>
      </c>
      <c r="CF75" s="43">
        <v>0</v>
      </c>
      <c r="CG75" s="43">
        <v>4.3001686340599997E-2</v>
      </c>
      <c r="CH75" s="43">
        <v>0</v>
      </c>
      <c r="CI75" s="43">
        <v>3.2040472175400001E-3</v>
      </c>
      <c r="CJ75" s="43">
        <v>0</v>
      </c>
      <c r="CK75" s="43">
        <v>0</v>
      </c>
      <c r="CL75" s="43">
        <v>6.4080944350800003E-3</v>
      </c>
      <c r="CM75" s="43">
        <v>0</v>
      </c>
      <c r="CN75" s="43">
        <v>0</v>
      </c>
      <c r="CO75" s="43">
        <v>0</v>
      </c>
      <c r="CP75" s="43">
        <v>0</v>
      </c>
      <c r="CQ75" s="43">
        <v>0</v>
      </c>
      <c r="CR75" s="43">
        <v>0</v>
      </c>
      <c r="CS75" s="43">
        <v>0</v>
      </c>
      <c r="CT75" s="43">
        <v>4.0472175379400004E-3</v>
      </c>
      <c r="CU75" s="43">
        <v>0</v>
      </c>
      <c r="CV75" s="43">
        <v>0</v>
      </c>
      <c r="CW75" s="43">
        <v>0</v>
      </c>
      <c r="CX75" s="43">
        <v>0</v>
      </c>
      <c r="CY75" s="43">
        <v>0</v>
      </c>
      <c r="CZ75" s="43">
        <v>0</v>
      </c>
      <c r="DA75" s="43">
        <v>0</v>
      </c>
      <c r="DB75" s="43">
        <v>5.0590219224299997E-4</v>
      </c>
      <c r="DC75" s="43">
        <v>0</v>
      </c>
      <c r="DD75" s="43">
        <v>0.103204047218</v>
      </c>
      <c r="DE75" s="43">
        <v>0</v>
      </c>
      <c r="DF75" s="43">
        <v>0</v>
      </c>
      <c r="DG75" s="43">
        <v>1.0792580101199999E-2</v>
      </c>
      <c r="DH75" s="43">
        <v>0</v>
      </c>
      <c r="DI75" s="43">
        <v>0</v>
      </c>
      <c r="DJ75" s="43">
        <v>0</v>
      </c>
      <c r="DK75" s="43">
        <v>0</v>
      </c>
      <c r="DL75" s="43">
        <v>0</v>
      </c>
      <c r="DM75" s="43">
        <v>0</v>
      </c>
      <c r="DN75" s="43">
        <v>0</v>
      </c>
      <c r="DO75" s="43">
        <v>0</v>
      </c>
      <c r="DP75" s="43">
        <v>3.2040472175400001E-3</v>
      </c>
      <c r="DQ75" s="43">
        <v>1.48397976391E-2</v>
      </c>
      <c r="DR75" s="43">
        <v>0</v>
      </c>
      <c r="DS75" s="43">
        <v>0.134401349073</v>
      </c>
      <c r="DT75" s="43">
        <v>0</v>
      </c>
      <c r="DU75" s="43">
        <v>7.9258010117999999E-3</v>
      </c>
      <c r="DV75" s="43">
        <v>0</v>
      </c>
      <c r="DW75" s="43">
        <v>0</v>
      </c>
      <c r="DX75" s="43">
        <v>0</v>
      </c>
      <c r="DY75" s="43">
        <v>1.8887015177100001E-2</v>
      </c>
      <c r="DZ75" s="43">
        <v>6.0708263069099997E-3</v>
      </c>
      <c r="EA75" s="43">
        <v>0</v>
      </c>
      <c r="EB75" s="43">
        <v>0</v>
      </c>
      <c r="EC75" s="43">
        <v>0</v>
      </c>
      <c r="ED75" s="43">
        <v>2.34401349073E-2</v>
      </c>
      <c r="EE75" s="43">
        <v>0</v>
      </c>
      <c r="EF75" s="43">
        <v>0</v>
      </c>
      <c r="EG75" s="43">
        <v>1.18043844857E-3</v>
      </c>
      <c r="EH75" s="43">
        <v>0</v>
      </c>
      <c r="EI75" s="43">
        <v>0</v>
      </c>
      <c r="EJ75" s="43">
        <v>0</v>
      </c>
      <c r="EK75" s="43">
        <v>0</v>
      </c>
      <c r="EL75" s="43">
        <v>0</v>
      </c>
      <c r="EM75" s="43">
        <v>0</v>
      </c>
      <c r="EN75" s="43">
        <v>0</v>
      </c>
      <c r="EO75" s="43">
        <v>0</v>
      </c>
      <c r="EP75" s="43">
        <v>6.74536256324E-4</v>
      </c>
      <c r="EQ75" s="43">
        <v>0</v>
      </c>
      <c r="ER75" s="43">
        <v>0</v>
      </c>
      <c r="ES75" s="43">
        <v>0</v>
      </c>
      <c r="ET75" s="43">
        <v>0</v>
      </c>
      <c r="EU75" s="43">
        <v>0</v>
      </c>
      <c r="EV75" s="43">
        <v>0</v>
      </c>
      <c r="EW75" s="43">
        <v>0</v>
      </c>
      <c r="EX75" s="43">
        <v>0</v>
      </c>
      <c r="EY75" s="43">
        <v>0.34215851602000003</v>
      </c>
      <c r="EZ75" s="43">
        <v>0</v>
      </c>
      <c r="FA75" s="43">
        <v>0</v>
      </c>
      <c r="FB75" s="43">
        <v>0</v>
      </c>
      <c r="FC75" s="43">
        <v>0</v>
      </c>
      <c r="FD75" s="43">
        <v>0</v>
      </c>
      <c r="FE75" s="43">
        <v>0</v>
      </c>
      <c r="FF75" s="43">
        <v>0</v>
      </c>
      <c r="FG75" s="43">
        <v>0</v>
      </c>
      <c r="FH75" s="43">
        <v>0</v>
      </c>
      <c r="FI75" s="43">
        <v>0</v>
      </c>
      <c r="FJ75" s="43">
        <v>0</v>
      </c>
      <c r="FK75" s="43">
        <v>0</v>
      </c>
      <c r="FL75" s="43">
        <v>0</v>
      </c>
      <c r="FM75" s="43">
        <v>0</v>
      </c>
      <c r="FN75" s="43">
        <v>0</v>
      </c>
      <c r="FO75" s="43">
        <v>1.70320404722E-2</v>
      </c>
      <c r="FP75" s="43">
        <v>0</v>
      </c>
      <c r="FQ75" s="43">
        <v>0</v>
      </c>
      <c r="FR75" s="43">
        <v>0</v>
      </c>
      <c r="FS75" s="43">
        <v>0</v>
      </c>
      <c r="FT75" s="43">
        <v>0</v>
      </c>
      <c r="FU75" s="43">
        <v>0</v>
      </c>
      <c r="FV75" s="43">
        <v>0</v>
      </c>
      <c r="FW75" s="43">
        <v>0</v>
      </c>
      <c r="FX75" s="43">
        <v>2.1922428330500001E-3</v>
      </c>
      <c r="FY75" s="43">
        <v>0</v>
      </c>
      <c r="FZ75" s="43">
        <v>0</v>
      </c>
      <c r="GA75" s="43">
        <v>0</v>
      </c>
      <c r="GB75" s="43">
        <v>0</v>
      </c>
      <c r="GC75" s="43">
        <v>0</v>
      </c>
      <c r="GD75" s="43">
        <v>0</v>
      </c>
    </row>
    <row r="76" spans="1:186" ht="16.5" x14ac:dyDescent="0.3">
      <c r="A76" s="21" t="s">
        <v>380</v>
      </c>
      <c r="B76" s="22" t="s">
        <v>1</v>
      </c>
      <c r="C76" s="23">
        <v>8</v>
      </c>
      <c r="D76" s="23" t="s">
        <v>183</v>
      </c>
      <c r="E76" s="24" t="s">
        <v>184</v>
      </c>
      <c r="F76" s="25" t="s">
        <v>381</v>
      </c>
      <c r="G76" s="63" t="s">
        <v>1</v>
      </c>
      <c r="H76" s="63" t="s">
        <v>184</v>
      </c>
      <c r="I76" s="64">
        <v>8</v>
      </c>
      <c r="J76" s="64">
        <v>149</v>
      </c>
      <c r="K76" s="64">
        <v>42</v>
      </c>
      <c r="L76" s="65">
        <f t="shared" si="24"/>
        <v>18.91806675374983</v>
      </c>
      <c r="M76" s="66">
        <v>91</v>
      </c>
      <c r="N76" s="67" t="s">
        <v>186</v>
      </c>
      <c r="O76" s="67" t="s">
        <v>186</v>
      </c>
      <c r="P76" s="67" t="s">
        <v>186</v>
      </c>
      <c r="Q76" s="67" t="s">
        <v>186</v>
      </c>
      <c r="R76" s="67" t="s">
        <v>186</v>
      </c>
      <c r="S76" s="67" t="s">
        <v>186</v>
      </c>
      <c r="T76" s="67" t="s">
        <v>186</v>
      </c>
      <c r="U76" s="67" t="s">
        <v>186</v>
      </c>
      <c r="V76" s="67" t="s">
        <v>186</v>
      </c>
      <c r="W76" s="67" t="s">
        <v>186</v>
      </c>
      <c r="X76" s="25">
        <v>12449.341964405268</v>
      </c>
      <c r="Y76" s="25">
        <v>4339.8838690726543</v>
      </c>
      <c r="Z76" s="25">
        <v>577.75380846775681</v>
      </c>
      <c r="AA76" s="25">
        <v>5326.2407958938675</v>
      </c>
      <c r="AB76" s="25">
        <v>731.53307078606929</v>
      </c>
      <c r="AC76" s="25">
        <v>1258.7431513835877</v>
      </c>
      <c r="AD76" s="32">
        <v>184.8</v>
      </c>
      <c r="AE76" s="32">
        <v>36.5075</v>
      </c>
      <c r="AF76" s="23" t="s">
        <v>183</v>
      </c>
      <c r="AG76" s="33">
        <v>119.3</v>
      </c>
      <c r="AH76" s="33">
        <v>17.3</v>
      </c>
      <c r="AI76" s="34">
        <f t="shared" si="20"/>
        <v>30.601424979044427</v>
      </c>
      <c r="AJ76" s="34">
        <f t="shared" si="21"/>
        <v>211.02601156069363</v>
      </c>
      <c r="AK76" s="35">
        <v>119.3</v>
      </c>
      <c r="AL76" s="36">
        <f t="shared" si="22"/>
        <v>30.601424979044427</v>
      </c>
      <c r="AM76" s="37">
        <v>17.3</v>
      </c>
      <c r="AN76" s="38">
        <f t="shared" si="23"/>
        <v>211.02601156069363</v>
      </c>
      <c r="AO76" s="49" t="s">
        <v>221</v>
      </c>
      <c r="AP76" s="49" t="s">
        <v>221</v>
      </c>
      <c r="AQ76" s="49" t="s">
        <v>221</v>
      </c>
      <c r="AR76" s="49" t="s">
        <v>221</v>
      </c>
      <c r="AS76" s="49" t="s">
        <v>221</v>
      </c>
      <c r="AT76" s="49" t="s">
        <v>221</v>
      </c>
      <c r="AU76" s="49" t="s">
        <v>221</v>
      </c>
      <c r="AV76" s="49" t="s">
        <v>221</v>
      </c>
      <c r="AW76" s="49" t="s">
        <v>221</v>
      </c>
      <c r="AX76" s="49" t="s">
        <v>221</v>
      </c>
      <c r="AY76" s="49" t="s">
        <v>221</v>
      </c>
      <c r="AZ76" s="49" t="s">
        <v>221</v>
      </c>
      <c r="BA76" s="49" t="s">
        <v>221</v>
      </c>
      <c r="BB76" s="49" t="s">
        <v>221</v>
      </c>
      <c r="BC76" s="49" t="s">
        <v>221</v>
      </c>
      <c r="BD76" s="49" t="s">
        <v>221</v>
      </c>
      <c r="BE76" s="49" t="s">
        <v>221</v>
      </c>
      <c r="BF76" s="49" t="s">
        <v>221</v>
      </c>
      <c r="BG76" s="49" t="s">
        <v>221</v>
      </c>
      <c r="BH76" s="49" t="s">
        <v>221</v>
      </c>
      <c r="BI76" s="49" t="s">
        <v>221</v>
      </c>
      <c r="BJ76" s="49" t="s">
        <v>221</v>
      </c>
      <c r="BK76" s="49" t="s">
        <v>221</v>
      </c>
      <c r="BL76" s="49" t="s">
        <v>221</v>
      </c>
      <c r="BM76" s="49" t="s">
        <v>221</v>
      </c>
      <c r="BN76" s="49" t="s">
        <v>221</v>
      </c>
      <c r="BO76" s="49" t="s">
        <v>221</v>
      </c>
      <c r="BP76" s="49" t="s">
        <v>221</v>
      </c>
      <c r="BQ76" s="49" t="s">
        <v>221</v>
      </c>
      <c r="BR76" s="49" t="s">
        <v>221</v>
      </c>
      <c r="BS76" s="49" t="s">
        <v>221</v>
      </c>
      <c r="BT76" s="49" t="s">
        <v>221</v>
      </c>
      <c r="BU76" s="49" t="s">
        <v>221</v>
      </c>
      <c r="BV76" s="49" t="s">
        <v>221</v>
      </c>
      <c r="BW76" s="49" t="s">
        <v>221</v>
      </c>
      <c r="BX76" s="49" t="s">
        <v>221</v>
      </c>
      <c r="BY76" s="49" t="s">
        <v>221</v>
      </c>
      <c r="BZ76" s="49" t="s">
        <v>221</v>
      </c>
      <c r="CA76" s="49" t="s">
        <v>221</v>
      </c>
      <c r="CB76" s="49" t="s">
        <v>221</v>
      </c>
      <c r="CC76" s="49" t="s">
        <v>221</v>
      </c>
      <c r="CD76" s="49" t="s">
        <v>221</v>
      </c>
      <c r="CE76" s="49" t="s">
        <v>221</v>
      </c>
      <c r="CF76" s="49" t="s">
        <v>221</v>
      </c>
      <c r="CG76" s="49" t="s">
        <v>221</v>
      </c>
      <c r="CH76" s="49" t="s">
        <v>221</v>
      </c>
      <c r="CI76" s="49" t="s">
        <v>221</v>
      </c>
      <c r="CJ76" s="49" t="s">
        <v>221</v>
      </c>
      <c r="CK76" s="49" t="s">
        <v>221</v>
      </c>
      <c r="CL76" s="49" t="s">
        <v>221</v>
      </c>
      <c r="CM76" s="49" t="s">
        <v>221</v>
      </c>
      <c r="CN76" s="49" t="s">
        <v>221</v>
      </c>
      <c r="CO76" s="49" t="s">
        <v>221</v>
      </c>
      <c r="CP76" s="49" t="s">
        <v>221</v>
      </c>
      <c r="CQ76" s="49" t="s">
        <v>221</v>
      </c>
      <c r="CR76" s="49" t="s">
        <v>221</v>
      </c>
      <c r="CS76" s="49" t="s">
        <v>221</v>
      </c>
      <c r="CT76" s="49" t="s">
        <v>221</v>
      </c>
      <c r="CU76" s="49" t="s">
        <v>221</v>
      </c>
      <c r="CV76" s="49" t="s">
        <v>221</v>
      </c>
      <c r="CW76" s="49" t="s">
        <v>221</v>
      </c>
      <c r="CX76" s="49" t="s">
        <v>221</v>
      </c>
      <c r="CY76" s="49" t="s">
        <v>221</v>
      </c>
      <c r="CZ76" s="49" t="s">
        <v>221</v>
      </c>
      <c r="DA76" s="49" t="s">
        <v>221</v>
      </c>
      <c r="DB76" s="49" t="s">
        <v>221</v>
      </c>
      <c r="DC76" s="49" t="s">
        <v>221</v>
      </c>
      <c r="DD76" s="49" t="s">
        <v>221</v>
      </c>
      <c r="DE76" s="49" t="s">
        <v>221</v>
      </c>
      <c r="DF76" s="49" t="s">
        <v>221</v>
      </c>
      <c r="DG76" s="49" t="s">
        <v>221</v>
      </c>
      <c r="DH76" s="49" t="s">
        <v>221</v>
      </c>
      <c r="DI76" s="49" t="s">
        <v>221</v>
      </c>
      <c r="DJ76" s="49" t="s">
        <v>221</v>
      </c>
      <c r="DK76" s="49" t="s">
        <v>221</v>
      </c>
      <c r="DL76" s="49" t="s">
        <v>221</v>
      </c>
      <c r="DM76" s="49" t="s">
        <v>221</v>
      </c>
      <c r="DN76" s="49" t="s">
        <v>221</v>
      </c>
      <c r="DO76" s="49" t="s">
        <v>221</v>
      </c>
      <c r="DP76" s="49" t="s">
        <v>221</v>
      </c>
      <c r="DQ76" s="49" t="s">
        <v>221</v>
      </c>
      <c r="DR76" s="49" t="s">
        <v>221</v>
      </c>
      <c r="DS76" s="49" t="s">
        <v>221</v>
      </c>
      <c r="DT76" s="49" t="s">
        <v>221</v>
      </c>
      <c r="DU76" s="49" t="s">
        <v>221</v>
      </c>
      <c r="DV76" s="49" t="s">
        <v>221</v>
      </c>
      <c r="DW76" s="49" t="s">
        <v>221</v>
      </c>
      <c r="DX76" s="49" t="s">
        <v>221</v>
      </c>
      <c r="DY76" s="49" t="s">
        <v>221</v>
      </c>
      <c r="DZ76" s="49" t="s">
        <v>221</v>
      </c>
      <c r="EA76" s="49" t="s">
        <v>221</v>
      </c>
      <c r="EB76" s="49" t="s">
        <v>221</v>
      </c>
      <c r="EC76" s="49" t="s">
        <v>221</v>
      </c>
      <c r="ED76" s="49" t="s">
        <v>221</v>
      </c>
      <c r="EE76" s="49" t="s">
        <v>221</v>
      </c>
      <c r="EF76" s="49" t="s">
        <v>221</v>
      </c>
      <c r="EG76" s="49" t="s">
        <v>221</v>
      </c>
      <c r="EH76" s="49" t="s">
        <v>221</v>
      </c>
      <c r="EI76" s="49" t="s">
        <v>221</v>
      </c>
      <c r="EJ76" s="49" t="s">
        <v>221</v>
      </c>
      <c r="EK76" s="49" t="s">
        <v>221</v>
      </c>
      <c r="EL76" s="49" t="s">
        <v>221</v>
      </c>
      <c r="EM76" s="49" t="s">
        <v>221</v>
      </c>
      <c r="EN76" s="49" t="s">
        <v>221</v>
      </c>
      <c r="EO76" s="49" t="s">
        <v>221</v>
      </c>
      <c r="EP76" s="49" t="s">
        <v>221</v>
      </c>
      <c r="EQ76" s="49" t="s">
        <v>221</v>
      </c>
      <c r="ER76" s="49" t="s">
        <v>221</v>
      </c>
      <c r="ES76" s="49" t="s">
        <v>221</v>
      </c>
      <c r="ET76" s="49" t="s">
        <v>221</v>
      </c>
      <c r="EU76" s="49" t="s">
        <v>221</v>
      </c>
      <c r="EV76" s="49" t="s">
        <v>221</v>
      </c>
      <c r="EW76" s="49" t="s">
        <v>221</v>
      </c>
      <c r="EX76" s="49" t="s">
        <v>221</v>
      </c>
      <c r="EY76" s="49" t="s">
        <v>221</v>
      </c>
      <c r="EZ76" s="49" t="s">
        <v>221</v>
      </c>
      <c r="FA76" s="49" t="s">
        <v>221</v>
      </c>
      <c r="FB76" s="49" t="s">
        <v>221</v>
      </c>
      <c r="FC76" s="49" t="s">
        <v>221</v>
      </c>
      <c r="FD76" s="49" t="s">
        <v>221</v>
      </c>
      <c r="FE76" s="49" t="s">
        <v>221</v>
      </c>
      <c r="FF76" s="49" t="s">
        <v>221</v>
      </c>
      <c r="FG76" s="49" t="s">
        <v>221</v>
      </c>
      <c r="FH76" s="49" t="s">
        <v>221</v>
      </c>
      <c r="FI76" s="49" t="s">
        <v>221</v>
      </c>
      <c r="FJ76" s="49" t="s">
        <v>221</v>
      </c>
      <c r="FK76" s="49" t="s">
        <v>221</v>
      </c>
      <c r="FL76" s="49" t="s">
        <v>221</v>
      </c>
      <c r="FM76" s="49" t="s">
        <v>221</v>
      </c>
      <c r="FN76" s="49" t="s">
        <v>221</v>
      </c>
      <c r="FO76" s="49" t="s">
        <v>221</v>
      </c>
      <c r="FP76" s="49" t="s">
        <v>221</v>
      </c>
      <c r="FQ76" s="49" t="s">
        <v>221</v>
      </c>
      <c r="FR76" s="49" t="s">
        <v>221</v>
      </c>
      <c r="FS76" s="49" t="s">
        <v>221</v>
      </c>
      <c r="FT76" s="49" t="s">
        <v>221</v>
      </c>
      <c r="FU76" s="49" t="s">
        <v>221</v>
      </c>
      <c r="FV76" s="49" t="s">
        <v>221</v>
      </c>
      <c r="FW76" s="49" t="s">
        <v>221</v>
      </c>
      <c r="FX76" s="49" t="s">
        <v>221</v>
      </c>
      <c r="FY76" s="49" t="s">
        <v>221</v>
      </c>
      <c r="FZ76" s="49" t="s">
        <v>221</v>
      </c>
      <c r="GA76" s="49" t="s">
        <v>221</v>
      </c>
      <c r="GB76" s="49" t="s">
        <v>221</v>
      </c>
      <c r="GC76" s="49" t="s">
        <v>221</v>
      </c>
      <c r="GD76" s="49" t="s">
        <v>221</v>
      </c>
    </row>
    <row r="77" spans="1:186" ht="16.5" x14ac:dyDescent="0.3">
      <c r="A77" s="21" t="s">
        <v>382</v>
      </c>
      <c r="B77" s="57" t="s">
        <v>287</v>
      </c>
      <c r="C77" s="23">
        <v>14</v>
      </c>
      <c r="D77" s="23" t="s">
        <v>195</v>
      </c>
      <c r="E77" s="24" t="s">
        <v>243</v>
      </c>
      <c r="F77" s="68" t="s">
        <v>383</v>
      </c>
      <c r="G77" s="26" t="s">
        <v>289</v>
      </c>
      <c r="H77" s="63" t="s">
        <v>243</v>
      </c>
      <c r="I77" s="64">
        <v>14</v>
      </c>
      <c r="J77" s="49" t="s">
        <v>221</v>
      </c>
      <c r="K77" s="49" t="s">
        <v>221</v>
      </c>
      <c r="L77" s="49" t="s">
        <v>221</v>
      </c>
      <c r="M77" s="49" t="s">
        <v>221</v>
      </c>
      <c r="N77" s="49" t="s">
        <v>221</v>
      </c>
      <c r="O77" s="49" t="s">
        <v>221</v>
      </c>
      <c r="P77" s="49" t="s">
        <v>221</v>
      </c>
      <c r="Q77" s="49" t="s">
        <v>221</v>
      </c>
      <c r="R77" s="49" t="s">
        <v>221</v>
      </c>
      <c r="S77" s="49" t="s">
        <v>221</v>
      </c>
      <c r="T77" s="49" t="s">
        <v>221</v>
      </c>
      <c r="U77" s="49" t="s">
        <v>221</v>
      </c>
      <c r="V77" s="49" t="s">
        <v>221</v>
      </c>
      <c r="W77" s="49" t="s">
        <v>221</v>
      </c>
      <c r="X77" s="49" t="s">
        <v>221</v>
      </c>
      <c r="Y77" s="49" t="s">
        <v>221</v>
      </c>
      <c r="Z77" s="49" t="s">
        <v>221</v>
      </c>
      <c r="AA77" s="49" t="s">
        <v>221</v>
      </c>
      <c r="AB77" s="49" t="s">
        <v>221</v>
      </c>
      <c r="AC77" s="49" t="s">
        <v>221</v>
      </c>
      <c r="AD77" s="32">
        <v>322.7</v>
      </c>
      <c r="AE77" s="32">
        <v>8.875</v>
      </c>
      <c r="AF77" s="23" t="s">
        <v>195</v>
      </c>
      <c r="AG77" s="33">
        <v>54.4</v>
      </c>
      <c r="AH77" s="33">
        <v>13.9</v>
      </c>
      <c r="AI77" s="34">
        <f t="shared" si="20"/>
        <v>16.31433823529412</v>
      </c>
      <c r="AJ77" s="34">
        <f t="shared" si="21"/>
        <v>63.848920863309353</v>
      </c>
      <c r="AK77" s="35">
        <v>54.4</v>
      </c>
      <c r="AL77" s="58">
        <f t="shared" si="22"/>
        <v>16.31433823529412</v>
      </c>
      <c r="AM77" s="37">
        <v>13.9</v>
      </c>
      <c r="AN77" s="59">
        <f t="shared" si="23"/>
        <v>63.848920863309353</v>
      </c>
      <c r="AO77" s="49" t="s">
        <v>221</v>
      </c>
      <c r="AP77" s="49" t="s">
        <v>221</v>
      </c>
      <c r="AQ77" s="49" t="s">
        <v>221</v>
      </c>
      <c r="AR77" s="49" t="s">
        <v>221</v>
      </c>
      <c r="AS77" s="49" t="s">
        <v>221</v>
      </c>
      <c r="AT77" s="49" t="s">
        <v>221</v>
      </c>
      <c r="AU77" s="49" t="s">
        <v>221</v>
      </c>
      <c r="AV77" s="49" t="s">
        <v>221</v>
      </c>
      <c r="AW77" s="49" t="s">
        <v>221</v>
      </c>
      <c r="AX77" s="49" t="s">
        <v>221</v>
      </c>
      <c r="AY77" s="49" t="s">
        <v>221</v>
      </c>
      <c r="AZ77" s="49" t="s">
        <v>221</v>
      </c>
      <c r="BA77" s="49" t="s">
        <v>221</v>
      </c>
      <c r="BB77" s="49" t="s">
        <v>221</v>
      </c>
      <c r="BC77" s="49" t="s">
        <v>221</v>
      </c>
      <c r="BD77" s="49" t="s">
        <v>221</v>
      </c>
      <c r="BE77" s="49" t="s">
        <v>221</v>
      </c>
      <c r="BF77" s="49" t="s">
        <v>221</v>
      </c>
      <c r="BG77" s="49" t="s">
        <v>221</v>
      </c>
      <c r="BH77" s="49" t="s">
        <v>221</v>
      </c>
      <c r="BI77" s="49" t="s">
        <v>221</v>
      </c>
      <c r="BJ77" s="49" t="s">
        <v>221</v>
      </c>
      <c r="BK77" s="49" t="s">
        <v>221</v>
      </c>
      <c r="BL77" s="49" t="s">
        <v>221</v>
      </c>
      <c r="BM77" s="49" t="s">
        <v>221</v>
      </c>
      <c r="BN77" s="49" t="s">
        <v>221</v>
      </c>
      <c r="BO77" s="49" t="s">
        <v>221</v>
      </c>
      <c r="BP77" s="49" t="s">
        <v>221</v>
      </c>
      <c r="BQ77" s="49" t="s">
        <v>221</v>
      </c>
      <c r="BR77" s="49" t="s">
        <v>221</v>
      </c>
      <c r="BS77" s="49" t="s">
        <v>221</v>
      </c>
      <c r="BT77" s="49" t="s">
        <v>221</v>
      </c>
      <c r="BU77" s="49" t="s">
        <v>221</v>
      </c>
      <c r="BV77" s="49" t="s">
        <v>221</v>
      </c>
      <c r="BW77" s="49" t="s">
        <v>221</v>
      </c>
      <c r="BX77" s="49" t="s">
        <v>221</v>
      </c>
      <c r="BY77" s="49" t="s">
        <v>221</v>
      </c>
      <c r="BZ77" s="49" t="s">
        <v>221</v>
      </c>
      <c r="CA77" s="49" t="s">
        <v>221</v>
      </c>
      <c r="CB77" s="49" t="s">
        <v>221</v>
      </c>
      <c r="CC77" s="49" t="s">
        <v>221</v>
      </c>
      <c r="CD77" s="49" t="s">
        <v>221</v>
      </c>
      <c r="CE77" s="49" t="s">
        <v>221</v>
      </c>
      <c r="CF77" s="49" t="s">
        <v>221</v>
      </c>
      <c r="CG77" s="49" t="s">
        <v>221</v>
      </c>
      <c r="CH77" s="49" t="s">
        <v>221</v>
      </c>
      <c r="CI77" s="49" t="s">
        <v>221</v>
      </c>
      <c r="CJ77" s="49" t="s">
        <v>221</v>
      </c>
      <c r="CK77" s="49" t="s">
        <v>221</v>
      </c>
      <c r="CL77" s="49" t="s">
        <v>221</v>
      </c>
      <c r="CM77" s="49" t="s">
        <v>221</v>
      </c>
      <c r="CN77" s="49" t="s">
        <v>221</v>
      </c>
      <c r="CO77" s="49" t="s">
        <v>221</v>
      </c>
      <c r="CP77" s="49" t="s">
        <v>221</v>
      </c>
      <c r="CQ77" s="49" t="s">
        <v>221</v>
      </c>
      <c r="CR77" s="49" t="s">
        <v>221</v>
      </c>
      <c r="CS77" s="49" t="s">
        <v>221</v>
      </c>
      <c r="CT77" s="49" t="s">
        <v>221</v>
      </c>
      <c r="CU77" s="49" t="s">
        <v>221</v>
      </c>
      <c r="CV77" s="49" t="s">
        <v>221</v>
      </c>
      <c r="CW77" s="49" t="s">
        <v>221</v>
      </c>
      <c r="CX77" s="49" t="s">
        <v>221</v>
      </c>
      <c r="CY77" s="49" t="s">
        <v>221</v>
      </c>
      <c r="CZ77" s="49" t="s">
        <v>221</v>
      </c>
      <c r="DA77" s="49" t="s">
        <v>221</v>
      </c>
      <c r="DB77" s="49" t="s">
        <v>221</v>
      </c>
      <c r="DC77" s="49" t="s">
        <v>221</v>
      </c>
      <c r="DD77" s="49" t="s">
        <v>221</v>
      </c>
      <c r="DE77" s="49" t="s">
        <v>221</v>
      </c>
      <c r="DF77" s="49" t="s">
        <v>221</v>
      </c>
      <c r="DG77" s="49" t="s">
        <v>221</v>
      </c>
      <c r="DH77" s="49" t="s">
        <v>221</v>
      </c>
      <c r="DI77" s="49" t="s">
        <v>221</v>
      </c>
      <c r="DJ77" s="49" t="s">
        <v>221</v>
      </c>
      <c r="DK77" s="49" t="s">
        <v>221</v>
      </c>
      <c r="DL77" s="49" t="s">
        <v>221</v>
      </c>
      <c r="DM77" s="49" t="s">
        <v>221</v>
      </c>
      <c r="DN77" s="49" t="s">
        <v>221</v>
      </c>
      <c r="DO77" s="49" t="s">
        <v>221</v>
      </c>
      <c r="DP77" s="49" t="s">
        <v>221</v>
      </c>
      <c r="DQ77" s="49" t="s">
        <v>221</v>
      </c>
      <c r="DR77" s="49" t="s">
        <v>221</v>
      </c>
      <c r="DS77" s="49" t="s">
        <v>221</v>
      </c>
      <c r="DT77" s="49" t="s">
        <v>221</v>
      </c>
      <c r="DU77" s="49" t="s">
        <v>221</v>
      </c>
      <c r="DV77" s="49" t="s">
        <v>221</v>
      </c>
      <c r="DW77" s="49" t="s">
        <v>221</v>
      </c>
      <c r="DX77" s="49" t="s">
        <v>221</v>
      </c>
      <c r="DY77" s="49" t="s">
        <v>221</v>
      </c>
      <c r="DZ77" s="49" t="s">
        <v>221</v>
      </c>
      <c r="EA77" s="49" t="s">
        <v>221</v>
      </c>
      <c r="EB77" s="49" t="s">
        <v>221</v>
      </c>
      <c r="EC77" s="49" t="s">
        <v>221</v>
      </c>
      <c r="ED77" s="49" t="s">
        <v>221</v>
      </c>
      <c r="EE77" s="49" t="s">
        <v>221</v>
      </c>
      <c r="EF77" s="49" t="s">
        <v>221</v>
      </c>
      <c r="EG77" s="49" t="s">
        <v>221</v>
      </c>
      <c r="EH77" s="49" t="s">
        <v>221</v>
      </c>
      <c r="EI77" s="49" t="s">
        <v>221</v>
      </c>
      <c r="EJ77" s="49" t="s">
        <v>221</v>
      </c>
      <c r="EK77" s="49" t="s">
        <v>221</v>
      </c>
      <c r="EL77" s="49" t="s">
        <v>221</v>
      </c>
      <c r="EM77" s="49" t="s">
        <v>221</v>
      </c>
      <c r="EN77" s="49" t="s">
        <v>221</v>
      </c>
      <c r="EO77" s="49" t="s">
        <v>221</v>
      </c>
      <c r="EP77" s="49" t="s">
        <v>221</v>
      </c>
      <c r="EQ77" s="49" t="s">
        <v>221</v>
      </c>
      <c r="ER77" s="49" t="s">
        <v>221</v>
      </c>
      <c r="ES77" s="49" t="s">
        <v>221</v>
      </c>
      <c r="ET77" s="49" t="s">
        <v>221</v>
      </c>
      <c r="EU77" s="49" t="s">
        <v>221</v>
      </c>
      <c r="EV77" s="49" t="s">
        <v>221</v>
      </c>
      <c r="EW77" s="49" t="s">
        <v>221</v>
      </c>
      <c r="EX77" s="49" t="s">
        <v>221</v>
      </c>
      <c r="EY77" s="49" t="s">
        <v>221</v>
      </c>
      <c r="EZ77" s="49" t="s">
        <v>221</v>
      </c>
      <c r="FA77" s="49" t="s">
        <v>221</v>
      </c>
      <c r="FB77" s="49" t="s">
        <v>221</v>
      </c>
      <c r="FC77" s="49" t="s">
        <v>221</v>
      </c>
      <c r="FD77" s="49" t="s">
        <v>221</v>
      </c>
      <c r="FE77" s="49" t="s">
        <v>221</v>
      </c>
      <c r="FF77" s="49" t="s">
        <v>221</v>
      </c>
      <c r="FG77" s="49" t="s">
        <v>221</v>
      </c>
      <c r="FH77" s="49" t="s">
        <v>221</v>
      </c>
      <c r="FI77" s="49" t="s">
        <v>221</v>
      </c>
      <c r="FJ77" s="49" t="s">
        <v>221</v>
      </c>
      <c r="FK77" s="49" t="s">
        <v>221</v>
      </c>
      <c r="FL77" s="49" t="s">
        <v>221</v>
      </c>
      <c r="FM77" s="49" t="s">
        <v>221</v>
      </c>
      <c r="FN77" s="49" t="s">
        <v>221</v>
      </c>
      <c r="FO77" s="49" t="s">
        <v>221</v>
      </c>
      <c r="FP77" s="49" t="s">
        <v>221</v>
      </c>
      <c r="FQ77" s="49" t="s">
        <v>221</v>
      </c>
      <c r="FR77" s="49" t="s">
        <v>221</v>
      </c>
      <c r="FS77" s="49" t="s">
        <v>221</v>
      </c>
      <c r="FT77" s="49" t="s">
        <v>221</v>
      </c>
      <c r="FU77" s="49" t="s">
        <v>221</v>
      </c>
      <c r="FV77" s="49" t="s">
        <v>221</v>
      </c>
      <c r="FW77" s="49" t="s">
        <v>221</v>
      </c>
      <c r="FX77" s="49" t="s">
        <v>221</v>
      </c>
      <c r="FY77" s="49" t="s">
        <v>221</v>
      </c>
      <c r="FZ77" s="49" t="s">
        <v>221</v>
      </c>
      <c r="GA77" s="49" t="s">
        <v>221</v>
      </c>
      <c r="GB77" s="49" t="s">
        <v>221</v>
      </c>
      <c r="GC77" s="49" t="s">
        <v>221</v>
      </c>
      <c r="GD77" s="49" t="s">
        <v>221</v>
      </c>
    </row>
    <row r="81" spans="41:58" ht="15.75" thickBot="1" x14ac:dyDescent="0.3"/>
    <row r="82" spans="41:58" x14ac:dyDescent="0.25">
      <c r="AO82" s="6" t="s">
        <v>6</v>
      </c>
      <c r="AP82" s="10"/>
      <c r="AR82" s="6" t="s">
        <v>6</v>
      </c>
      <c r="AT82" s="69" t="s">
        <v>41</v>
      </c>
      <c r="AU82" s="69" t="s">
        <v>42</v>
      </c>
      <c r="AV82" s="69" t="s">
        <v>43</v>
      </c>
      <c r="AW82" s="69" t="s">
        <v>44</v>
      </c>
      <c r="AX82" s="69" t="s">
        <v>45</v>
      </c>
      <c r="AY82" s="69" t="s">
        <v>46</v>
      </c>
      <c r="AZ82" s="69" t="s">
        <v>47</v>
      </c>
      <c r="BA82" s="69" t="s">
        <v>48</v>
      </c>
      <c r="BB82" s="69" t="s">
        <v>49</v>
      </c>
      <c r="BC82" s="69" t="s">
        <v>50</v>
      </c>
      <c r="BD82" s="69" t="s">
        <v>51</v>
      </c>
      <c r="BE82" s="69" t="s">
        <v>52</v>
      </c>
      <c r="BF82" s="69" t="s">
        <v>53</v>
      </c>
    </row>
    <row r="83" spans="41:58" x14ac:dyDescent="0.25">
      <c r="AO83" s="26" t="s">
        <v>1</v>
      </c>
      <c r="AP83" s="32"/>
      <c r="AR83" s="26" t="s">
        <v>1</v>
      </c>
      <c r="AT83" s="69">
        <v>0</v>
      </c>
      <c r="AU83" s="69">
        <v>0.56053962900499998</v>
      </c>
      <c r="AV83" s="69">
        <v>5.0590219224299997E-4</v>
      </c>
      <c r="AW83" s="69">
        <v>0.14266441821199999</v>
      </c>
      <c r="AX83" s="69">
        <v>2.6981450252999998E-3</v>
      </c>
      <c r="AY83" s="69">
        <v>0.27689713322100001</v>
      </c>
      <c r="AZ83" s="69">
        <v>0</v>
      </c>
      <c r="BA83" s="69">
        <v>0</v>
      </c>
      <c r="BB83" s="69">
        <v>3.37268128162E-4</v>
      </c>
      <c r="BC83" s="69">
        <v>1.6357504215900001E-2</v>
      </c>
      <c r="BD83" s="69">
        <v>0</v>
      </c>
      <c r="BE83" s="69">
        <v>0</v>
      </c>
      <c r="BF83" s="69">
        <v>0</v>
      </c>
    </row>
    <row r="84" spans="41:58" x14ac:dyDescent="0.25">
      <c r="AO84" s="26" t="s">
        <v>1</v>
      </c>
      <c r="AP84" s="45"/>
      <c r="AR84" s="26" t="s">
        <v>1</v>
      </c>
      <c r="AT84" s="69">
        <v>4.7217537942699998E-2</v>
      </c>
      <c r="AU84" s="69">
        <v>0.59932546374399998</v>
      </c>
      <c r="AV84" s="69">
        <v>1.68634064081E-4</v>
      </c>
      <c r="AW84" s="69">
        <v>1.4333895446900001E-2</v>
      </c>
      <c r="AX84" s="69">
        <v>0</v>
      </c>
      <c r="AY84" s="69">
        <v>0.33878583473899998</v>
      </c>
      <c r="AZ84" s="69">
        <v>0</v>
      </c>
      <c r="BA84" s="69">
        <v>0</v>
      </c>
      <c r="BB84" s="69">
        <v>1.68634064081E-4</v>
      </c>
      <c r="BC84" s="69">
        <v>0</v>
      </c>
      <c r="BD84" s="69">
        <v>0</v>
      </c>
      <c r="BE84" s="69">
        <v>0</v>
      </c>
      <c r="BF84" s="69">
        <v>0</v>
      </c>
    </row>
    <row r="85" spans="41:58" x14ac:dyDescent="0.25">
      <c r="AO85" s="26" t="s">
        <v>1</v>
      </c>
      <c r="AP85" s="32"/>
      <c r="AR85" s="26" t="s">
        <v>1</v>
      </c>
      <c r="AT85" s="69">
        <v>3.3726812816199998E-2</v>
      </c>
      <c r="AU85" s="69">
        <v>0.53794266441799998</v>
      </c>
      <c r="AV85" s="69">
        <v>0</v>
      </c>
      <c r="AW85" s="69">
        <v>6.74536256324E-4</v>
      </c>
      <c r="AX85" s="69">
        <v>0</v>
      </c>
      <c r="AY85" s="69">
        <v>0.42664418212499999</v>
      </c>
      <c r="AZ85" s="69">
        <v>0</v>
      </c>
      <c r="BA85" s="69">
        <v>5.0590219224299997E-4</v>
      </c>
      <c r="BB85" s="69">
        <v>5.0590219224299997E-4</v>
      </c>
      <c r="BC85" s="69">
        <v>0</v>
      </c>
      <c r="BD85" s="69">
        <v>0</v>
      </c>
      <c r="BE85" s="69">
        <v>0</v>
      </c>
      <c r="BF85" s="69">
        <v>0</v>
      </c>
    </row>
    <row r="86" spans="41:58" x14ac:dyDescent="0.25">
      <c r="AO86" s="26" t="s">
        <v>1</v>
      </c>
      <c r="AP86" s="45"/>
      <c r="AR86" s="26" t="s">
        <v>1</v>
      </c>
      <c r="AT86" s="69">
        <v>0</v>
      </c>
      <c r="AU86" s="69">
        <v>0.45413153457</v>
      </c>
      <c r="AV86" s="69">
        <v>0</v>
      </c>
      <c r="AW86" s="69">
        <v>0</v>
      </c>
      <c r="AX86" s="69">
        <v>0</v>
      </c>
      <c r="AY86" s="69">
        <v>0.54586846543</v>
      </c>
      <c r="AZ86" s="69">
        <v>0</v>
      </c>
      <c r="BA86" s="69">
        <v>0</v>
      </c>
      <c r="BB86" s="69">
        <v>0</v>
      </c>
      <c r="BC86" s="69">
        <v>0</v>
      </c>
      <c r="BD86" s="69">
        <v>0</v>
      </c>
      <c r="BE86" s="69">
        <v>0</v>
      </c>
      <c r="BF86" s="69">
        <v>0</v>
      </c>
    </row>
    <row r="87" spans="41:58" x14ac:dyDescent="0.25">
      <c r="AO87" s="26" t="s">
        <v>1</v>
      </c>
      <c r="AP87" s="45"/>
      <c r="AR87" s="26" t="s">
        <v>1</v>
      </c>
      <c r="AT87" s="69">
        <v>0.18566610455300001</v>
      </c>
      <c r="AU87" s="69">
        <v>0.54755480607100004</v>
      </c>
      <c r="AV87" s="69">
        <v>3.70994940978E-3</v>
      </c>
      <c r="AW87" s="69">
        <v>1.68634064081E-3</v>
      </c>
      <c r="AX87" s="69">
        <v>0</v>
      </c>
      <c r="AY87" s="69">
        <v>0.25531197301899999</v>
      </c>
      <c r="AZ87" s="69">
        <v>0</v>
      </c>
      <c r="BA87" s="69">
        <v>5.7335581787499998E-3</v>
      </c>
      <c r="BB87" s="69">
        <v>3.37268128162E-4</v>
      </c>
      <c r="BC87" s="69">
        <v>0</v>
      </c>
      <c r="BD87" s="69">
        <v>0</v>
      </c>
      <c r="BE87" s="69">
        <v>0</v>
      </c>
      <c r="BF87" s="69">
        <v>0</v>
      </c>
    </row>
    <row r="88" spans="41:58" x14ac:dyDescent="0.25">
      <c r="AO88" s="26" t="s">
        <v>1</v>
      </c>
      <c r="AP88" s="32"/>
      <c r="AR88" s="26" t="s">
        <v>1</v>
      </c>
      <c r="AT88" s="69">
        <v>4.72175379427E-3</v>
      </c>
      <c r="AU88" s="69">
        <v>0.87436762225999998</v>
      </c>
      <c r="AV88" s="69">
        <v>0</v>
      </c>
      <c r="AW88" s="69">
        <v>2.1247892074200001E-2</v>
      </c>
      <c r="AX88" s="69">
        <v>0</v>
      </c>
      <c r="AY88" s="69">
        <v>9.9662731871799998E-2</v>
      </c>
      <c r="AZ88" s="69">
        <v>0</v>
      </c>
      <c r="BA88" s="69">
        <v>0</v>
      </c>
      <c r="BB88" s="69">
        <v>0</v>
      </c>
      <c r="BC88" s="69">
        <v>0</v>
      </c>
      <c r="BD88" s="69">
        <v>0</v>
      </c>
      <c r="BE88" s="69">
        <v>0</v>
      </c>
      <c r="BF88" s="69">
        <v>0</v>
      </c>
    </row>
    <row r="89" spans="41:58" x14ac:dyDescent="0.25">
      <c r="AO89" s="26" t="s">
        <v>1</v>
      </c>
      <c r="AP89" s="32"/>
      <c r="AR89" s="26" t="s">
        <v>1</v>
      </c>
      <c r="AT89" s="69">
        <v>0.12967959527799999</v>
      </c>
      <c r="AU89" s="69">
        <v>0.52630691399700003</v>
      </c>
      <c r="AV89" s="69">
        <v>3.37268128162E-4</v>
      </c>
      <c r="AW89" s="69">
        <v>3.4401349072499997E-2</v>
      </c>
      <c r="AX89" s="69">
        <v>0</v>
      </c>
      <c r="AY89" s="69">
        <v>0.30927487352400002</v>
      </c>
      <c r="AZ89" s="69">
        <v>0</v>
      </c>
      <c r="BA89" s="69">
        <v>0</v>
      </c>
      <c r="BB89" s="69">
        <v>0</v>
      </c>
      <c r="BC89" s="69">
        <v>0</v>
      </c>
      <c r="BD89" s="69">
        <v>0</v>
      </c>
      <c r="BE89" s="69">
        <v>0</v>
      </c>
      <c r="BF89" s="69">
        <v>0</v>
      </c>
    </row>
    <row r="90" spans="41:58" x14ac:dyDescent="0.25">
      <c r="AO90" s="26" t="s">
        <v>1</v>
      </c>
      <c r="AP90" s="32"/>
      <c r="AR90" s="26" t="s">
        <v>1</v>
      </c>
      <c r="AT90" s="69">
        <v>6.6779089376099998E-2</v>
      </c>
      <c r="AU90" s="69">
        <v>0.59156829679599998</v>
      </c>
      <c r="AV90" s="69">
        <v>0</v>
      </c>
      <c r="AW90" s="69">
        <v>2.0236087689700002E-3</v>
      </c>
      <c r="AX90" s="69">
        <v>0</v>
      </c>
      <c r="AY90" s="69">
        <v>0.33962900505900001</v>
      </c>
      <c r="AZ90" s="69">
        <v>0</v>
      </c>
      <c r="BA90" s="69">
        <v>0</v>
      </c>
      <c r="BB90" s="69">
        <v>0</v>
      </c>
      <c r="BC90" s="69">
        <v>0</v>
      </c>
      <c r="BD90" s="69">
        <v>0</v>
      </c>
      <c r="BE90" s="69">
        <v>0</v>
      </c>
      <c r="BF90" s="69">
        <v>0</v>
      </c>
    </row>
    <row r="91" spans="41:58" x14ac:dyDescent="0.25">
      <c r="AO91" s="26" t="s">
        <v>1</v>
      </c>
      <c r="AP91" s="45"/>
      <c r="AR91" s="26" t="s">
        <v>1</v>
      </c>
      <c r="AT91" s="69">
        <v>0.107925801012</v>
      </c>
      <c r="AU91" s="69">
        <v>0.42563237774000001</v>
      </c>
      <c r="AV91" s="69">
        <v>0</v>
      </c>
      <c r="AW91" s="69">
        <v>5.8516020236100003E-2</v>
      </c>
      <c r="AX91" s="69">
        <v>0</v>
      </c>
      <c r="AY91" s="69">
        <v>0.40758853288399999</v>
      </c>
      <c r="AZ91" s="69">
        <v>0</v>
      </c>
      <c r="BA91" s="69">
        <v>0</v>
      </c>
      <c r="BB91" s="69">
        <v>3.37268128162E-4</v>
      </c>
      <c r="BC91" s="69">
        <v>0</v>
      </c>
      <c r="BD91" s="69">
        <v>0</v>
      </c>
      <c r="BE91" s="69">
        <v>0</v>
      </c>
      <c r="BF91" s="69">
        <v>0</v>
      </c>
    </row>
    <row r="92" spans="41:58" x14ac:dyDescent="0.25">
      <c r="AO92" s="26" t="s">
        <v>1</v>
      </c>
      <c r="AP92" s="32"/>
      <c r="AR92" s="26" t="s">
        <v>1</v>
      </c>
      <c r="AT92" s="69">
        <v>0</v>
      </c>
      <c r="AU92" s="69">
        <v>0.51804384485699995</v>
      </c>
      <c r="AV92" s="69">
        <v>4.2158516020200003E-3</v>
      </c>
      <c r="AW92" s="69">
        <v>3.1365935919100002E-2</v>
      </c>
      <c r="AX92" s="69">
        <v>3.37268128162E-4</v>
      </c>
      <c r="AY92" s="69">
        <v>0.44468802698100002</v>
      </c>
      <c r="AZ92" s="69">
        <v>0</v>
      </c>
      <c r="BA92" s="69">
        <v>0</v>
      </c>
      <c r="BB92" s="69">
        <v>1.3490725126499999E-3</v>
      </c>
      <c r="BC92" s="69">
        <v>0</v>
      </c>
      <c r="BD92" s="69">
        <v>0</v>
      </c>
      <c r="BE92" s="69">
        <v>0</v>
      </c>
      <c r="BF92" s="69">
        <v>0</v>
      </c>
    </row>
    <row r="93" spans="41:58" x14ac:dyDescent="0.25">
      <c r="AO93" s="26" t="s">
        <v>1</v>
      </c>
      <c r="AP93" s="49"/>
      <c r="AR93" s="26" t="s">
        <v>1</v>
      </c>
      <c r="AT93" s="69">
        <v>3.6256323777399999E-2</v>
      </c>
      <c r="AU93" s="69">
        <v>0.64907251264800003</v>
      </c>
      <c r="AV93" s="69">
        <v>4.0472175379400004E-3</v>
      </c>
      <c r="AW93" s="69">
        <v>9.5615514333900004E-2</v>
      </c>
      <c r="AX93" s="69">
        <v>1.68634064081E-4</v>
      </c>
      <c r="AY93" s="69">
        <v>0.21483979763899999</v>
      </c>
      <c r="AZ93" s="69">
        <v>0</v>
      </c>
      <c r="BA93" s="69">
        <v>0</v>
      </c>
      <c r="BB93" s="69">
        <v>0</v>
      </c>
      <c r="BC93" s="69">
        <v>0</v>
      </c>
      <c r="BD93" s="69">
        <v>0</v>
      </c>
      <c r="BE93" s="69">
        <v>0</v>
      </c>
      <c r="BF93" s="69">
        <v>0</v>
      </c>
    </row>
    <row r="94" spans="41:58" x14ac:dyDescent="0.25">
      <c r="AO94" s="26" t="s">
        <v>1</v>
      </c>
      <c r="AP94" s="32"/>
      <c r="AR94" s="26" t="s">
        <v>1</v>
      </c>
      <c r="AT94" s="69">
        <v>0.148229342327</v>
      </c>
      <c r="AU94" s="69">
        <v>0.495784148398</v>
      </c>
      <c r="AV94" s="69">
        <v>1.14671163575E-2</v>
      </c>
      <c r="AW94" s="69">
        <v>6.4080944350800001E-2</v>
      </c>
      <c r="AX94" s="69">
        <v>0</v>
      </c>
      <c r="AY94" s="69">
        <v>0.27774030354099999</v>
      </c>
      <c r="AZ94" s="69">
        <v>0</v>
      </c>
      <c r="BA94" s="69">
        <v>8.4317032040500002E-4</v>
      </c>
      <c r="BB94" s="69">
        <v>1.68634064081E-4</v>
      </c>
      <c r="BC94" s="69">
        <v>0</v>
      </c>
      <c r="BD94" s="69">
        <v>1.68634064081E-3</v>
      </c>
      <c r="BE94" s="69">
        <v>0</v>
      </c>
      <c r="BF94" s="69">
        <v>0</v>
      </c>
    </row>
    <row r="95" spans="41:58" x14ac:dyDescent="0.25">
      <c r="AO95" s="26" t="s">
        <v>1</v>
      </c>
      <c r="AP95" s="32"/>
      <c r="AR95" s="26" t="s">
        <v>1</v>
      </c>
      <c r="AT95" s="69">
        <v>6.0370994940999997E-2</v>
      </c>
      <c r="AU95" s="69">
        <v>0.77133220910599998</v>
      </c>
      <c r="AV95" s="69">
        <v>1.68634064081E-3</v>
      </c>
      <c r="AW95" s="69">
        <v>8.6003372681300004E-3</v>
      </c>
      <c r="AX95" s="69">
        <v>0</v>
      </c>
      <c r="AY95" s="69">
        <v>0.157672849916</v>
      </c>
      <c r="AZ95" s="69">
        <v>0</v>
      </c>
      <c r="BA95" s="69">
        <v>0</v>
      </c>
      <c r="BB95" s="69">
        <v>0</v>
      </c>
      <c r="BC95" s="69">
        <v>0</v>
      </c>
      <c r="BD95" s="69">
        <v>0</v>
      </c>
      <c r="BE95" s="69">
        <v>0</v>
      </c>
      <c r="BF95" s="69">
        <v>0</v>
      </c>
    </row>
    <row r="96" spans="41:58" x14ac:dyDescent="0.25">
      <c r="AO96" s="26" t="s">
        <v>1</v>
      </c>
      <c r="AP96" s="32"/>
      <c r="AR96" s="26" t="s">
        <v>1</v>
      </c>
      <c r="AT96" s="69">
        <v>0</v>
      </c>
      <c r="AU96" s="69">
        <v>0.63254637436799999</v>
      </c>
      <c r="AV96" s="69">
        <v>0.10269814502500001</v>
      </c>
      <c r="AW96" s="69">
        <v>3.9966273187200002E-2</v>
      </c>
      <c r="AX96" s="69">
        <v>0</v>
      </c>
      <c r="AY96" s="69">
        <v>0.22478920742</v>
      </c>
      <c r="AZ96" s="69">
        <v>0</v>
      </c>
      <c r="BA96" s="69">
        <v>0</v>
      </c>
      <c r="BB96" s="69">
        <v>0</v>
      </c>
      <c r="BC96" s="69">
        <v>0</v>
      </c>
      <c r="BD96" s="69">
        <v>0</v>
      </c>
      <c r="BE96" s="69">
        <v>0</v>
      </c>
      <c r="BF96" s="69">
        <v>0</v>
      </c>
    </row>
    <row r="97" spans="41:58" x14ac:dyDescent="0.25">
      <c r="AO97" s="26" t="s">
        <v>1</v>
      </c>
      <c r="AP97" s="32"/>
      <c r="AR97" s="26" t="s">
        <v>1</v>
      </c>
      <c r="AT97" s="69">
        <v>0</v>
      </c>
      <c r="AU97" s="69">
        <v>0.68836424957800002</v>
      </c>
      <c r="AV97" s="69">
        <v>0</v>
      </c>
      <c r="AW97" s="69">
        <v>1.3827993254599999E-2</v>
      </c>
      <c r="AX97" s="69">
        <v>0</v>
      </c>
      <c r="AY97" s="69">
        <v>0.29780775716699998</v>
      </c>
      <c r="AZ97" s="69">
        <v>0</v>
      </c>
      <c r="BA97" s="69">
        <v>0</v>
      </c>
      <c r="BB97" s="69">
        <v>0</v>
      </c>
      <c r="BC97" s="69">
        <v>0</v>
      </c>
      <c r="BD97" s="69">
        <v>0</v>
      </c>
      <c r="BE97" s="69">
        <v>0</v>
      </c>
      <c r="BF97" s="69">
        <v>0</v>
      </c>
    </row>
    <row r="98" spans="41:58" x14ac:dyDescent="0.25">
      <c r="AO98" s="26" t="s">
        <v>1</v>
      </c>
      <c r="AP98" s="32"/>
      <c r="AR98" s="26" t="s">
        <v>1</v>
      </c>
      <c r="AT98" s="69">
        <v>0</v>
      </c>
      <c r="AU98" s="69">
        <v>0.94603709949399994</v>
      </c>
      <c r="AV98" s="69">
        <v>1.09612141653E-2</v>
      </c>
      <c r="AW98" s="69">
        <v>8.9376053962900003E-3</v>
      </c>
      <c r="AX98" s="69">
        <v>0</v>
      </c>
      <c r="AY98" s="69">
        <v>3.32209106239E-2</v>
      </c>
      <c r="AZ98" s="69">
        <v>0</v>
      </c>
      <c r="BA98" s="69">
        <v>0</v>
      </c>
      <c r="BB98" s="69">
        <v>5.0590219224299997E-4</v>
      </c>
      <c r="BC98" s="69">
        <v>0</v>
      </c>
      <c r="BD98" s="69">
        <v>0</v>
      </c>
      <c r="BE98" s="69">
        <v>3.37268128162E-4</v>
      </c>
      <c r="BF98" s="69">
        <v>0</v>
      </c>
    </row>
    <row r="99" spans="41:58" x14ac:dyDescent="0.25">
      <c r="AO99" s="26" t="s">
        <v>1</v>
      </c>
      <c r="AP99" s="32"/>
      <c r="AR99" s="26" t="s">
        <v>1</v>
      </c>
      <c r="AT99" s="69">
        <v>0</v>
      </c>
      <c r="AU99" s="69">
        <v>0.60337268128199995</v>
      </c>
      <c r="AV99" s="69">
        <v>6.74536256324E-4</v>
      </c>
      <c r="AW99" s="69">
        <v>1.1973018549699999E-2</v>
      </c>
      <c r="AX99" s="69">
        <v>0</v>
      </c>
      <c r="AY99" s="69">
        <v>0.38397976391200001</v>
      </c>
      <c r="AZ99" s="69">
        <v>0</v>
      </c>
      <c r="BA99" s="69">
        <v>0</v>
      </c>
      <c r="BB99" s="69">
        <v>0</v>
      </c>
      <c r="BC99" s="69">
        <v>0</v>
      </c>
      <c r="BD99" s="69">
        <v>0</v>
      </c>
      <c r="BE99" s="69">
        <v>0</v>
      </c>
      <c r="BF99" s="69">
        <v>0</v>
      </c>
    </row>
    <row r="100" spans="41:58" x14ac:dyDescent="0.25">
      <c r="AO100" s="26" t="s">
        <v>1</v>
      </c>
      <c r="AP100" s="32"/>
      <c r="AR100" s="26" t="s">
        <v>1</v>
      </c>
      <c r="AT100" s="69">
        <v>1.5177065767300001E-3</v>
      </c>
      <c r="AU100" s="69">
        <v>0.70994940978099996</v>
      </c>
      <c r="AV100" s="69">
        <v>3.37268128162E-4</v>
      </c>
      <c r="AW100" s="69">
        <v>1.0118043844900001E-2</v>
      </c>
      <c r="AX100" s="69">
        <v>3.2040472175400001E-3</v>
      </c>
      <c r="AY100" s="69">
        <v>0.27217537942699999</v>
      </c>
      <c r="AZ100" s="69">
        <v>0</v>
      </c>
      <c r="BA100" s="69">
        <v>0</v>
      </c>
      <c r="BB100" s="69">
        <v>3.37268128162E-4</v>
      </c>
      <c r="BC100" s="69">
        <v>2.3608768971300001E-3</v>
      </c>
      <c r="BD100" s="69">
        <v>0</v>
      </c>
      <c r="BE100" s="69">
        <v>0</v>
      </c>
      <c r="BF100" s="69">
        <v>0</v>
      </c>
    </row>
    <row r="101" spans="41:58" x14ac:dyDescent="0.25">
      <c r="AO101" s="26" t="s">
        <v>1</v>
      </c>
      <c r="AP101" s="32"/>
      <c r="AR101" s="26" t="s">
        <v>1</v>
      </c>
      <c r="AT101" s="69">
        <v>0</v>
      </c>
      <c r="AU101" s="69">
        <v>0.80219224283299995</v>
      </c>
      <c r="AV101" s="69">
        <v>1.5177065767300001E-3</v>
      </c>
      <c r="AW101" s="69">
        <v>6.7622259696500001E-2</v>
      </c>
      <c r="AX101" s="69">
        <v>0</v>
      </c>
      <c r="AY101" s="69">
        <v>0.12866779089399999</v>
      </c>
      <c r="AZ101" s="69">
        <v>0</v>
      </c>
      <c r="BA101" s="69">
        <v>0</v>
      </c>
      <c r="BB101" s="69">
        <v>0</v>
      </c>
      <c r="BC101" s="69">
        <v>0</v>
      </c>
      <c r="BD101" s="69">
        <v>0</v>
      </c>
      <c r="BE101" s="69">
        <v>0</v>
      </c>
      <c r="BF101" s="69">
        <v>0</v>
      </c>
    </row>
    <row r="102" spans="41:58" x14ac:dyDescent="0.25">
      <c r="AO102" s="26" t="s">
        <v>1</v>
      </c>
      <c r="AP102" s="32"/>
      <c r="AR102" s="26" t="s">
        <v>1</v>
      </c>
      <c r="AT102" s="69">
        <v>0</v>
      </c>
      <c r="AU102" s="69">
        <v>0.68246205733599996</v>
      </c>
      <c r="AV102" s="69">
        <v>0</v>
      </c>
      <c r="AW102" s="69">
        <v>1.3490725126499999E-3</v>
      </c>
      <c r="AX102" s="69">
        <v>0</v>
      </c>
      <c r="AY102" s="69">
        <v>0.31618887015199998</v>
      </c>
      <c r="AZ102" s="69">
        <v>0</v>
      </c>
      <c r="BA102" s="69">
        <v>0</v>
      </c>
      <c r="BB102" s="69">
        <v>0</v>
      </c>
      <c r="BC102" s="69">
        <v>0</v>
      </c>
      <c r="BD102" s="69">
        <v>0</v>
      </c>
      <c r="BE102" s="69">
        <v>0</v>
      </c>
      <c r="BF102" s="69">
        <v>0</v>
      </c>
    </row>
    <row r="103" spans="41:58" x14ac:dyDescent="0.25">
      <c r="AO103" s="26" t="s">
        <v>1</v>
      </c>
      <c r="AP103" s="32"/>
      <c r="AR103" s="26" t="s">
        <v>1</v>
      </c>
      <c r="AT103" s="69">
        <v>4.3844856660999999E-2</v>
      </c>
      <c r="AU103" s="69">
        <v>0.69696458684700002</v>
      </c>
      <c r="AV103" s="69">
        <v>9.1062394603699994E-3</v>
      </c>
      <c r="AW103" s="69">
        <v>0</v>
      </c>
      <c r="AX103" s="69">
        <v>0</v>
      </c>
      <c r="AY103" s="69">
        <v>0.25008431703200001</v>
      </c>
      <c r="AZ103" s="69">
        <v>0</v>
      </c>
      <c r="BA103" s="69">
        <v>0</v>
      </c>
      <c r="BB103" s="69">
        <v>0</v>
      </c>
      <c r="BC103" s="69">
        <v>0</v>
      </c>
      <c r="BD103" s="69">
        <v>0</v>
      </c>
      <c r="BE103" s="69">
        <v>0</v>
      </c>
      <c r="BF103" s="69">
        <v>0</v>
      </c>
    </row>
    <row r="104" spans="41:58" x14ac:dyDescent="0.25">
      <c r="AO104" s="26" t="s">
        <v>1</v>
      </c>
      <c r="AP104" s="32"/>
      <c r="AR104" s="26" t="s">
        <v>1</v>
      </c>
      <c r="AT104" s="69">
        <v>0</v>
      </c>
      <c r="AU104" s="69">
        <v>0.67015177065800002</v>
      </c>
      <c r="AV104" s="69">
        <v>0</v>
      </c>
      <c r="AW104" s="69">
        <v>1.01180438449E-3</v>
      </c>
      <c r="AX104" s="69">
        <v>0</v>
      </c>
      <c r="AY104" s="69">
        <v>0.32883642495799997</v>
      </c>
      <c r="AZ104" s="69">
        <v>0</v>
      </c>
      <c r="BA104" s="69">
        <v>0</v>
      </c>
      <c r="BB104" s="69">
        <v>0</v>
      </c>
      <c r="BC104" s="69">
        <v>0</v>
      </c>
      <c r="BD104" s="69">
        <v>0</v>
      </c>
      <c r="BE104" s="69">
        <v>0</v>
      </c>
      <c r="BF104" s="69">
        <v>0</v>
      </c>
    </row>
    <row r="105" spans="41:58" x14ac:dyDescent="0.25">
      <c r="AO105" s="26" t="s">
        <v>1</v>
      </c>
      <c r="AP105" s="49"/>
      <c r="AR105" s="26" t="s">
        <v>1</v>
      </c>
      <c r="AT105" s="69">
        <v>0</v>
      </c>
      <c r="AU105" s="69">
        <v>0.89629005059</v>
      </c>
      <c r="AV105" s="69">
        <v>3.1534569983100003E-2</v>
      </c>
      <c r="AW105" s="69">
        <v>6.7453625632400002E-3</v>
      </c>
      <c r="AX105" s="69">
        <v>0</v>
      </c>
      <c r="AY105" s="69">
        <v>6.5430016863399998E-2</v>
      </c>
      <c r="AZ105" s="69">
        <v>0</v>
      </c>
      <c r="BA105" s="69">
        <v>0</v>
      </c>
      <c r="BB105" s="69">
        <v>0</v>
      </c>
      <c r="BC105" s="69">
        <v>0</v>
      </c>
      <c r="BD105" s="69">
        <v>0</v>
      </c>
      <c r="BE105" s="69">
        <v>0</v>
      </c>
      <c r="BF105" s="69">
        <v>0</v>
      </c>
    </row>
    <row r="106" spans="41:58" x14ac:dyDescent="0.25">
      <c r="AO106" s="26" t="s">
        <v>1</v>
      </c>
      <c r="AP106" s="32"/>
      <c r="AR106" s="26" t="s">
        <v>1</v>
      </c>
      <c r="AT106" s="69">
        <v>6.6610455311999994E-2</v>
      </c>
      <c r="AU106" s="69">
        <v>0.76070826306899997</v>
      </c>
      <c r="AV106" s="69">
        <v>1.01180438449E-3</v>
      </c>
      <c r="AW106" s="69">
        <v>1.23102866779E-2</v>
      </c>
      <c r="AX106" s="69">
        <v>0</v>
      </c>
      <c r="AY106" s="69">
        <v>0.15615514333899999</v>
      </c>
      <c r="AZ106" s="69">
        <v>2.6981450252999998E-3</v>
      </c>
      <c r="BA106" s="69">
        <v>3.37268128162E-4</v>
      </c>
      <c r="BB106" s="69">
        <v>1.68634064081E-4</v>
      </c>
      <c r="BC106" s="69">
        <v>0</v>
      </c>
      <c r="BD106" s="69">
        <v>0</v>
      </c>
      <c r="BE106" s="69">
        <v>0</v>
      </c>
      <c r="BF106" s="69">
        <v>0</v>
      </c>
    </row>
    <row r="107" spans="41:58" x14ac:dyDescent="0.25">
      <c r="AO107" s="26" t="s">
        <v>1</v>
      </c>
      <c r="AP107" s="32"/>
      <c r="AR107" s="26" t="s">
        <v>1</v>
      </c>
      <c r="AT107" s="69">
        <v>0.229173693086</v>
      </c>
      <c r="AU107" s="69">
        <v>0.54350758853299996</v>
      </c>
      <c r="AV107" s="69">
        <v>1.70320404722E-2</v>
      </c>
      <c r="AW107" s="69">
        <v>3.3726812816200001E-3</v>
      </c>
      <c r="AX107" s="69">
        <v>0</v>
      </c>
      <c r="AY107" s="69">
        <v>0.206913996627</v>
      </c>
      <c r="AZ107" s="69">
        <v>0</v>
      </c>
      <c r="BA107" s="69">
        <v>0</v>
      </c>
      <c r="BB107" s="69">
        <v>0</v>
      </c>
      <c r="BC107" s="69">
        <v>0</v>
      </c>
      <c r="BD107" s="69">
        <v>0</v>
      </c>
      <c r="BE107" s="69">
        <v>0</v>
      </c>
      <c r="BF107" s="69">
        <v>0</v>
      </c>
    </row>
    <row r="108" spans="41:58" x14ac:dyDescent="0.25">
      <c r="AO108" s="26" t="s">
        <v>1</v>
      </c>
      <c r="AP108" s="32"/>
      <c r="AR108" s="26" t="s">
        <v>1</v>
      </c>
      <c r="AT108" s="69">
        <v>0</v>
      </c>
      <c r="AU108" s="69">
        <v>0.63558178752100003</v>
      </c>
      <c r="AV108" s="69">
        <v>3.37268128162E-4</v>
      </c>
      <c r="AW108" s="69">
        <v>6.7453625632400002E-3</v>
      </c>
      <c r="AX108" s="69">
        <v>0</v>
      </c>
      <c r="AY108" s="69">
        <v>0.35699831365899998</v>
      </c>
      <c r="AZ108" s="69">
        <v>0</v>
      </c>
      <c r="BA108" s="69">
        <v>0</v>
      </c>
      <c r="BB108" s="69">
        <v>3.37268128162E-4</v>
      </c>
      <c r="BC108" s="69">
        <v>0</v>
      </c>
      <c r="BD108" s="69">
        <v>0</v>
      </c>
      <c r="BE108" s="69">
        <v>0</v>
      </c>
      <c r="BF108" s="69">
        <v>0</v>
      </c>
    </row>
    <row r="109" spans="41:58" x14ac:dyDescent="0.25">
      <c r="AO109" s="26" t="s">
        <v>1</v>
      </c>
      <c r="AP109" s="45"/>
      <c r="AR109" s="26" t="s">
        <v>1</v>
      </c>
      <c r="AT109" s="69">
        <v>7.6391231028700005E-2</v>
      </c>
      <c r="AU109" s="69">
        <v>0.74468802698100001</v>
      </c>
      <c r="AV109" s="69">
        <v>5.0590219224299997E-4</v>
      </c>
      <c r="AW109" s="69">
        <v>9.6121416526100002E-3</v>
      </c>
      <c r="AX109" s="69">
        <v>0</v>
      </c>
      <c r="AY109" s="69">
        <v>0.16880269814500001</v>
      </c>
      <c r="AZ109" s="69">
        <v>0</v>
      </c>
      <c r="BA109" s="69">
        <v>0</v>
      </c>
      <c r="BB109" s="69">
        <v>0</v>
      </c>
      <c r="BC109" s="69">
        <v>0</v>
      </c>
      <c r="BD109" s="69">
        <v>0</v>
      </c>
      <c r="BE109" s="69">
        <v>0</v>
      </c>
      <c r="BF109" s="69">
        <v>0</v>
      </c>
    </row>
    <row r="110" spans="41:58" x14ac:dyDescent="0.25">
      <c r="AO110" s="26" t="s">
        <v>1</v>
      </c>
      <c r="AP110" s="45"/>
      <c r="AR110" s="26" t="s">
        <v>1</v>
      </c>
      <c r="AT110" s="69">
        <v>1.18043844857E-3</v>
      </c>
      <c r="AU110" s="69">
        <v>0.54603709949400003</v>
      </c>
      <c r="AV110" s="69">
        <v>0</v>
      </c>
      <c r="AW110" s="69">
        <v>0</v>
      </c>
      <c r="AX110" s="69">
        <v>8.4317032040500002E-4</v>
      </c>
      <c r="AY110" s="69">
        <v>0.45042158516000003</v>
      </c>
      <c r="AZ110" s="69">
        <v>0</v>
      </c>
      <c r="BA110" s="69">
        <v>0</v>
      </c>
      <c r="BB110" s="69">
        <v>0</v>
      </c>
      <c r="BC110" s="69">
        <v>0</v>
      </c>
      <c r="BD110" s="69">
        <v>1.5177065767300001E-3</v>
      </c>
      <c r="BE110" s="69">
        <v>0</v>
      </c>
      <c r="BF110" s="69">
        <v>0</v>
      </c>
    </row>
    <row r="111" spans="41:58" x14ac:dyDescent="0.25">
      <c r="AO111" s="26" t="s">
        <v>1</v>
      </c>
      <c r="AP111" s="32"/>
      <c r="AR111" s="26" t="s">
        <v>1</v>
      </c>
      <c r="AT111" s="69">
        <v>5.4974704890400003E-2</v>
      </c>
      <c r="AU111" s="69">
        <v>0.78229342327200002</v>
      </c>
      <c r="AV111" s="69">
        <v>1.33220910624E-2</v>
      </c>
      <c r="AW111" s="69">
        <v>4.6037099494100002E-2</v>
      </c>
      <c r="AX111" s="69">
        <v>0</v>
      </c>
      <c r="AY111" s="69">
        <v>9.8482293423300005E-2</v>
      </c>
      <c r="AZ111" s="69">
        <v>0</v>
      </c>
      <c r="BA111" s="69">
        <v>0</v>
      </c>
      <c r="BB111" s="69">
        <v>3.37268128162E-4</v>
      </c>
      <c r="BC111" s="69">
        <v>4.55311973019E-3</v>
      </c>
      <c r="BD111" s="69">
        <v>0</v>
      </c>
      <c r="BE111" s="69">
        <v>0</v>
      </c>
      <c r="BF111" s="69">
        <v>0</v>
      </c>
    </row>
    <row r="112" spans="41:58" x14ac:dyDescent="0.25">
      <c r="AO112" s="26" t="s">
        <v>1</v>
      </c>
      <c r="AP112" s="32"/>
      <c r="AR112" s="26" t="s">
        <v>1</v>
      </c>
      <c r="AT112" s="69">
        <v>1.7537942664400001E-2</v>
      </c>
      <c r="AU112" s="69">
        <v>0.594435075885</v>
      </c>
      <c r="AV112" s="69">
        <v>0</v>
      </c>
      <c r="AW112" s="69">
        <v>1.39966273187E-2</v>
      </c>
      <c r="AX112" s="69">
        <v>1.5177065767300001E-3</v>
      </c>
      <c r="AY112" s="69">
        <v>0.37200674536299999</v>
      </c>
      <c r="AZ112" s="69">
        <v>0</v>
      </c>
      <c r="BA112" s="69">
        <v>0</v>
      </c>
      <c r="BB112" s="69">
        <v>1.68634064081E-4</v>
      </c>
      <c r="BC112" s="69">
        <v>3.37268128162E-4</v>
      </c>
      <c r="BD112" s="69">
        <v>0</v>
      </c>
      <c r="BE112" s="69">
        <v>0</v>
      </c>
      <c r="BF112" s="69">
        <v>0</v>
      </c>
    </row>
    <row r="113" spans="41:58" x14ac:dyDescent="0.25">
      <c r="AO113" s="26" t="s">
        <v>1</v>
      </c>
      <c r="AP113" s="32"/>
      <c r="AR113" s="26" t="s">
        <v>1</v>
      </c>
      <c r="AT113" s="69">
        <v>2.46205733558E-2</v>
      </c>
      <c r="AU113" s="69">
        <v>0.78347386172</v>
      </c>
      <c r="AV113" s="69">
        <v>2.6138279932500001E-2</v>
      </c>
      <c r="AW113" s="69">
        <v>6.2225969645899999E-2</v>
      </c>
      <c r="AX113" s="69">
        <v>0</v>
      </c>
      <c r="AY113" s="69">
        <v>0.103541315346</v>
      </c>
      <c r="AZ113" s="69">
        <v>0</v>
      </c>
      <c r="BA113" s="69">
        <v>0</v>
      </c>
      <c r="BB113" s="69">
        <v>0</v>
      </c>
      <c r="BC113" s="69">
        <v>0</v>
      </c>
      <c r="BD113" s="69">
        <v>0</v>
      </c>
      <c r="BE113" s="69">
        <v>0</v>
      </c>
      <c r="BF113" s="69">
        <v>0</v>
      </c>
    </row>
    <row r="114" spans="41:58" x14ac:dyDescent="0.25">
      <c r="AO114" s="26" t="s">
        <v>1</v>
      </c>
      <c r="AP114" s="32"/>
      <c r="AR114" s="26" t="s">
        <v>1</v>
      </c>
      <c r="AT114" s="69">
        <v>2.9005059021899999E-2</v>
      </c>
      <c r="AU114" s="69">
        <v>0.67200674536299998</v>
      </c>
      <c r="AV114" s="69">
        <v>8.4317032040500002E-4</v>
      </c>
      <c r="AW114" s="69">
        <v>3.70994940978E-3</v>
      </c>
      <c r="AX114" s="69">
        <v>0</v>
      </c>
      <c r="AY114" s="69">
        <v>0.29376053962900001</v>
      </c>
      <c r="AZ114" s="69">
        <v>0</v>
      </c>
      <c r="BA114" s="69">
        <v>0</v>
      </c>
      <c r="BB114" s="69">
        <v>6.74536256324E-4</v>
      </c>
      <c r="BC114" s="69">
        <v>0</v>
      </c>
      <c r="BD114" s="69">
        <v>0</v>
      </c>
      <c r="BE114" s="69">
        <v>0</v>
      </c>
      <c r="BF114" s="69">
        <v>0</v>
      </c>
    </row>
    <row r="115" spans="41:58" x14ac:dyDescent="0.25">
      <c r="AO115" s="26" t="s">
        <v>1</v>
      </c>
      <c r="AP115" s="45"/>
      <c r="AR115" s="26" t="s">
        <v>1</v>
      </c>
      <c r="AT115" s="69">
        <v>0</v>
      </c>
      <c r="AU115" s="69">
        <v>0.54586846543</v>
      </c>
      <c r="AV115" s="69">
        <v>0</v>
      </c>
      <c r="AW115" s="69">
        <v>7.7571669477199999E-3</v>
      </c>
      <c r="AX115" s="69">
        <v>0</v>
      </c>
      <c r="AY115" s="69">
        <v>0.446374367622</v>
      </c>
      <c r="AZ115" s="69">
        <v>0</v>
      </c>
      <c r="BA115" s="69">
        <v>0</v>
      </c>
      <c r="BB115" s="69">
        <v>0</v>
      </c>
      <c r="BC115" s="69">
        <v>0</v>
      </c>
      <c r="BD115" s="69">
        <v>0</v>
      </c>
      <c r="BE115" s="69">
        <v>0</v>
      </c>
      <c r="BF115" s="69">
        <v>0</v>
      </c>
    </row>
    <row r="116" spans="41:58" x14ac:dyDescent="0.25">
      <c r="AO116" s="26" t="s">
        <v>1</v>
      </c>
      <c r="AP116" s="32"/>
      <c r="AR116" s="26" t="s">
        <v>1</v>
      </c>
      <c r="AT116" s="69">
        <v>4.7554806070800003E-2</v>
      </c>
      <c r="AU116" s="69">
        <v>0.71467116357500005</v>
      </c>
      <c r="AV116" s="69">
        <v>6.74536256324E-4</v>
      </c>
      <c r="AW116" s="69">
        <v>4.55311973019E-3</v>
      </c>
      <c r="AX116" s="69">
        <v>5.0590219224299997E-4</v>
      </c>
      <c r="AY116" s="69">
        <v>0.23035413153500001</v>
      </c>
      <c r="AZ116" s="69">
        <v>0</v>
      </c>
      <c r="BA116" s="69">
        <v>1.68634064081E-3</v>
      </c>
      <c r="BB116" s="69">
        <v>0</v>
      </c>
      <c r="BC116" s="69">
        <v>0</v>
      </c>
      <c r="BD116" s="69">
        <v>0</v>
      </c>
      <c r="BE116" s="69">
        <v>0</v>
      </c>
      <c r="BF116" s="69">
        <v>0</v>
      </c>
    </row>
    <row r="117" spans="41:58" x14ac:dyDescent="0.25">
      <c r="AO117" s="26" t="s">
        <v>1</v>
      </c>
      <c r="AP117" s="32"/>
      <c r="AR117" s="26" t="s">
        <v>1</v>
      </c>
      <c r="AT117" s="69">
        <v>2.2765598650899999E-2</v>
      </c>
      <c r="AU117" s="69">
        <v>0.56981450252999999</v>
      </c>
      <c r="AV117" s="69">
        <v>3.87858347386E-3</v>
      </c>
      <c r="AW117" s="69">
        <v>1.68634064081E-3</v>
      </c>
      <c r="AX117" s="69">
        <v>3.37268128162E-4</v>
      </c>
      <c r="AY117" s="69">
        <v>0.40151770657699998</v>
      </c>
      <c r="AZ117" s="69">
        <v>0</v>
      </c>
      <c r="BA117" s="69">
        <v>0</v>
      </c>
      <c r="BB117" s="69">
        <v>0</v>
      </c>
      <c r="BC117" s="69">
        <v>0</v>
      </c>
      <c r="BD117" s="69">
        <v>0</v>
      </c>
      <c r="BE117" s="69">
        <v>0</v>
      </c>
      <c r="BF117" s="69">
        <v>0</v>
      </c>
    </row>
    <row r="118" spans="41:58" x14ac:dyDescent="0.25">
      <c r="AO118" s="26" t="s">
        <v>289</v>
      </c>
      <c r="AP118" s="32"/>
      <c r="AR118" s="26" t="s">
        <v>289</v>
      </c>
      <c r="AT118" s="69">
        <v>0.20033726812800001</v>
      </c>
      <c r="AU118" s="69">
        <v>0.52040472175399999</v>
      </c>
      <c r="AV118" s="69">
        <v>0</v>
      </c>
      <c r="AW118" s="69">
        <v>1.5177065767300001E-3</v>
      </c>
      <c r="AX118" s="69">
        <v>0</v>
      </c>
      <c r="AY118" s="69">
        <v>0.27740303541299999</v>
      </c>
      <c r="AZ118" s="69">
        <v>0</v>
      </c>
      <c r="BA118" s="69">
        <v>0</v>
      </c>
      <c r="BB118" s="69">
        <v>3.37268128162E-4</v>
      </c>
      <c r="BC118" s="69">
        <v>0</v>
      </c>
      <c r="BD118" s="69">
        <v>0</v>
      </c>
      <c r="BE118" s="69">
        <v>0</v>
      </c>
      <c r="BF118" s="69">
        <v>0</v>
      </c>
    </row>
    <row r="119" spans="41:58" x14ac:dyDescent="0.25">
      <c r="AO119" s="26" t="s">
        <v>1</v>
      </c>
      <c r="AP119" s="32"/>
      <c r="AR119" s="26" t="s">
        <v>1</v>
      </c>
      <c r="AT119" s="69">
        <v>0.220404721754</v>
      </c>
      <c r="AU119" s="69">
        <v>0.44165261382799997</v>
      </c>
      <c r="AV119" s="69">
        <v>3.1365935919100002E-2</v>
      </c>
      <c r="AW119" s="69">
        <v>2.1922428330500001E-3</v>
      </c>
      <c r="AX119" s="69">
        <v>0</v>
      </c>
      <c r="AY119" s="69">
        <v>0.29898819561599999</v>
      </c>
      <c r="AZ119" s="69">
        <v>0</v>
      </c>
      <c r="BA119" s="69">
        <v>8.4317032040500002E-4</v>
      </c>
      <c r="BB119" s="69">
        <v>0</v>
      </c>
      <c r="BC119" s="69">
        <v>4.55311973019E-3</v>
      </c>
      <c r="BD119" s="69">
        <v>0</v>
      </c>
      <c r="BE119" s="69">
        <v>0</v>
      </c>
      <c r="BF119" s="69">
        <v>0</v>
      </c>
    </row>
    <row r="120" spans="41:58" x14ac:dyDescent="0.25">
      <c r="AO120" s="26" t="s">
        <v>1</v>
      </c>
      <c r="AP120" s="32"/>
      <c r="AR120" s="26" t="s">
        <v>1</v>
      </c>
      <c r="AT120" s="69">
        <v>0</v>
      </c>
      <c r="AU120" s="69">
        <v>0.67183811129799997</v>
      </c>
      <c r="AV120" s="69">
        <v>1.85497470489E-3</v>
      </c>
      <c r="AW120" s="69">
        <v>1.0623946037100001E-2</v>
      </c>
      <c r="AX120" s="69">
        <v>0</v>
      </c>
      <c r="AY120" s="69">
        <v>0.310961214165</v>
      </c>
      <c r="AZ120" s="69">
        <v>4.0472175379400004E-3</v>
      </c>
      <c r="BA120" s="69">
        <v>5.0590219224299997E-4</v>
      </c>
      <c r="BB120" s="69">
        <v>1.68634064081E-4</v>
      </c>
      <c r="BC120" s="69">
        <v>0</v>
      </c>
      <c r="BD120" s="69">
        <v>0</v>
      </c>
      <c r="BE120" s="69">
        <v>0</v>
      </c>
      <c r="BF120" s="69">
        <v>0</v>
      </c>
    </row>
    <row r="121" spans="41:58" x14ac:dyDescent="0.25">
      <c r="AO121" s="26" t="s">
        <v>1</v>
      </c>
      <c r="AP121" s="49"/>
      <c r="AR121" s="26" t="s">
        <v>1</v>
      </c>
      <c r="AT121" s="69">
        <v>2.9005059021899999E-2</v>
      </c>
      <c r="AU121" s="69">
        <v>0.52731871838099997</v>
      </c>
      <c r="AV121" s="69">
        <v>1.83811129848E-2</v>
      </c>
      <c r="AW121" s="69">
        <v>1.18043844857E-3</v>
      </c>
      <c r="AX121" s="69">
        <v>0</v>
      </c>
      <c r="AY121" s="69">
        <v>0.423777403035</v>
      </c>
      <c r="AZ121" s="69">
        <v>0</v>
      </c>
      <c r="BA121" s="69">
        <v>0</v>
      </c>
      <c r="BB121" s="69">
        <v>0</v>
      </c>
      <c r="BC121" s="69">
        <v>3.37268128162E-4</v>
      </c>
      <c r="BD121" s="69">
        <v>0</v>
      </c>
      <c r="BE121" s="69">
        <v>0</v>
      </c>
      <c r="BF121" s="69">
        <v>0</v>
      </c>
    </row>
    <row r="122" spans="41:58" x14ac:dyDescent="0.25">
      <c r="AO122" s="26" t="s">
        <v>1</v>
      </c>
      <c r="AP122" s="32"/>
      <c r="AR122" s="26" t="s">
        <v>1</v>
      </c>
      <c r="AT122" s="69" t="s">
        <v>221</v>
      </c>
      <c r="AU122" s="69" t="s">
        <v>221</v>
      </c>
      <c r="AV122" s="69" t="s">
        <v>221</v>
      </c>
      <c r="AW122" s="69" t="s">
        <v>221</v>
      </c>
      <c r="AX122" s="69" t="s">
        <v>221</v>
      </c>
      <c r="AY122" s="69" t="s">
        <v>221</v>
      </c>
      <c r="AZ122" s="69" t="s">
        <v>221</v>
      </c>
      <c r="BA122" s="69" t="s">
        <v>221</v>
      </c>
      <c r="BB122" s="69" t="s">
        <v>221</v>
      </c>
      <c r="BC122" s="69" t="s">
        <v>221</v>
      </c>
      <c r="BD122" s="69" t="s">
        <v>221</v>
      </c>
      <c r="BE122" s="69" t="s">
        <v>221</v>
      </c>
      <c r="BF122" s="69" t="s">
        <v>221</v>
      </c>
    </row>
    <row r="123" spans="41:58" x14ac:dyDescent="0.25">
      <c r="AO123" s="26" t="s">
        <v>1</v>
      </c>
      <c r="AP123" s="32"/>
      <c r="AR123" s="26" t="s">
        <v>1</v>
      </c>
      <c r="AT123" s="69">
        <v>3.0354131534600002E-3</v>
      </c>
      <c r="AU123" s="69">
        <v>0.46694772344000002</v>
      </c>
      <c r="AV123" s="69">
        <v>1.01180438449E-3</v>
      </c>
      <c r="AW123" s="69">
        <v>6.5092748735200004E-2</v>
      </c>
      <c r="AX123" s="69">
        <v>0</v>
      </c>
      <c r="AY123" s="69">
        <v>0.46357504215899997</v>
      </c>
      <c r="AZ123" s="69">
        <v>0</v>
      </c>
      <c r="BA123" s="69">
        <v>3.37268128162E-4</v>
      </c>
      <c r="BB123" s="69">
        <v>0</v>
      </c>
      <c r="BC123" s="69">
        <v>0</v>
      </c>
      <c r="BD123" s="69">
        <v>0</v>
      </c>
      <c r="BE123" s="69">
        <v>0</v>
      </c>
      <c r="BF123" s="69">
        <v>0</v>
      </c>
    </row>
    <row r="124" spans="41:58" x14ac:dyDescent="0.25">
      <c r="AO124" s="26" t="s">
        <v>1</v>
      </c>
      <c r="AP124" s="32"/>
      <c r="AR124" s="26" t="s">
        <v>1</v>
      </c>
      <c r="AT124" s="69">
        <v>7.1838111298499999E-2</v>
      </c>
      <c r="AU124" s="69">
        <v>0.76644182124799998</v>
      </c>
      <c r="AV124" s="69">
        <v>0</v>
      </c>
      <c r="AW124" s="69">
        <v>4.5868465429999998E-2</v>
      </c>
      <c r="AX124" s="69">
        <v>0</v>
      </c>
      <c r="AY124" s="69">
        <v>0.11585160202399999</v>
      </c>
      <c r="AZ124" s="69">
        <v>0</v>
      </c>
      <c r="BA124" s="69">
        <v>0</v>
      </c>
      <c r="BB124" s="69">
        <v>0</v>
      </c>
      <c r="BC124" s="69">
        <v>0</v>
      </c>
      <c r="BD124" s="69">
        <v>0</v>
      </c>
      <c r="BE124" s="69">
        <v>0</v>
      </c>
      <c r="BF124" s="69">
        <v>0</v>
      </c>
    </row>
    <row r="125" spans="41:58" x14ac:dyDescent="0.25">
      <c r="AO125" s="26" t="s">
        <v>289</v>
      </c>
      <c r="AP125" s="32"/>
      <c r="AR125" s="26" t="s">
        <v>289</v>
      </c>
      <c r="AT125" s="69">
        <v>0.158347386172</v>
      </c>
      <c r="AU125" s="69">
        <v>0.61871838111300004</v>
      </c>
      <c r="AV125" s="69">
        <v>0</v>
      </c>
      <c r="AW125" s="69">
        <v>4.55311973019E-2</v>
      </c>
      <c r="AX125" s="69">
        <v>0</v>
      </c>
      <c r="AY125" s="69">
        <v>0.16981450252999999</v>
      </c>
      <c r="AZ125" s="69">
        <v>6.2394603709899996E-3</v>
      </c>
      <c r="BA125" s="69">
        <v>1.3490725126499999E-3</v>
      </c>
      <c r="BB125" s="69">
        <v>0</v>
      </c>
      <c r="BC125" s="69">
        <v>0</v>
      </c>
      <c r="BD125" s="69">
        <v>0</v>
      </c>
      <c r="BE125" s="69">
        <v>0</v>
      </c>
      <c r="BF125" s="69">
        <v>0</v>
      </c>
    </row>
    <row r="126" spans="41:58" x14ac:dyDescent="0.25">
      <c r="AO126" s="26" t="s">
        <v>289</v>
      </c>
      <c r="AP126" s="32"/>
      <c r="AR126" s="26" t="s">
        <v>289</v>
      </c>
      <c r="AT126" s="69">
        <v>8.4485666104599996E-2</v>
      </c>
      <c r="AU126" s="69">
        <v>0.77453625632400003</v>
      </c>
      <c r="AV126" s="69">
        <v>1.85497470489E-3</v>
      </c>
      <c r="AW126" s="69">
        <v>8.2630691399700005E-3</v>
      </c>
      <c r="AX126" s="69">
        <v>0</v>
      </c>
      <c r="AY126" s="69">
        <v>0.130860033727</v>
      </c>
      <c r="AZ126" s="69">
        <v>0</v>
      </c>
      <c r="BA126" s="69">
        <v>0</v>
      </c>
      <c r="BB126" s="69">
        <v>0</v>
      </c>
      <c r="BC126" s="69">
        <v>0</v>
      </c>
      <c r="BD126" s="69">
        <v>0</v>
      </c>
      <c r="BE126" s="69">
        <v>0</v>
      </c>
      <c r="BF126" s="69">
        <v>0</v>
      </c>
    </row>
    <row r="127" spans="41:58" x14ac:dyDescent="0.25">
      <c r="AO127" s="26" t="s">
        <v>289</v>
      </c>
      <c r="AP127" s="32"/>
      <c r="AR127" s="26" t="s">
        <v>289</v>
      </c>
      <c r="AT127" s="69">
        <v>3.17032040472E-2</v>
      </c>
      <c r="AU127" s="69">
        <v>0.48937605396299999</v>
      </c>
      <c r="AV127" s="69">
        <v>5.0590219224299997E-4</v>
      </c>
      <c r="AW127" s="69">
        <v>6.1720067453600001E-2</v>
      </c>
      <c r="AX127" s="69">
        <v>0</v>
      </c>
      <c r="AY127" s="69">
        <v>0.41298482293400002</v>
      </c>
      <c r="AZ127" s="69">
        <v>0</v>
      </c>
      <c r="BA127" s="69">
        <v>3.70994940978E-3</v>
      </c>
      <c r="BB127" s="69">
        <v>0</v>
      </c>
      <c r="BC127" s="69">
        <v>0</v>
      </c>
      <c r="BD127" s="69">
        <v>0</v>
      </c>
      <c r="BE127" s="69">
        <v>0</v>
      </c>
      <c r="BF127" s="69">
        <v>0</v>
      </c>
    </row>
    <row r="128" spans="41:58" x14ac:dyDescent="0.25">
      <c r="AO128" s="26" t="s">
        <v>289</v>
      </c>
      <c r="AP128" s="32"/>
      <c r="AR128" s="26" t="s">
        <v>289</v>
      </c>
      <c r="AT128" s="69">
        <v>0.105396290051</v>
      </c>
      <c r="AU128" s="69">
        <v>0.71703204047199998</v>
      </c>
      <c r="AV128" s="69">
        <v>0</v>
      </c>
      <c r="AW128" s="69">
        <v>3.0860033726800001E-2</v>
      </c>
      <c r="AX128" s="69">
        <v>0</v>
      </c>
      <c r="AY128" s="69">
        <v>0.14654300168600001</v>
      </c>
      <c r="AZ128" s="69">
        <v>0</v>
      </c>
      <c r="BA128" s="69">
        <v>0</v>
      </c>
      <c r="BB128" s="69">
        <v>1.68634064081E-4</v>
      </c>
      <c r="BC128" s="69">
        <v>0</v>
      </c>
      <c r="BD128" s="69">
        <v>0</v>
      </c>
      <c r="BE128" s="69">
        <v>0</v>
      </c>
      <c r="BF128" s="69">
        <v>0</v>
      </c>
    </row>
    <row r="129" spans="41:58" x14ac:dyDescent="0.25">
      <c r="AO129" s="26" t="s">
        <v>289</v>
      </c>
      <c r="AP129" s="49"/>
      <c r="AR129" s="26" t="s">
        <v>289</v>
      </c>
      <c r="AT129" s="69">
        <v>0.33001686340600001</v>
      </c>
      <c r="AU129" s="69">
        <v>0.57672849915699997</v>
      </c>
      <c r="AV129" s="69">
        <v>4.3844856661000003E-3</v>
      </c>
      <c r="AW129" s="69">
        <v>4.0472175379400004E-3</v>
      </c>
      <c r="AX129" s="69">
        <v>8.4317032040500002E-4</v>
      </c>
      <c r="AY129" s="69">
        <v>8.3305227656E-2</v>
      </c>
      <c r="AZ129" s="69">
        <v>0</v>
      </c>
      <c r="BA129" s="69">
        <v>6.74536256324E-4</v>
      </c>
      <c r="BB129" s="69">
        <v>0</v>
      </c>
      <c r="BC129" s="69">
        <v>0</v>
      </c>
      <c r="BD129" s="69">
        <v>0</v>
      </c>
      <c r="BE129" s="69">
        <v>0</v>
      </c>
      <c r="BF129" s="69">
        <v>0</v>
      </c>
    </row>
    <row r="130" spans="41:58" x14ac:dyDescent="0.25">
      <c r="AO130" s="26" t="s">
        <v>289</v>
      </c>
      <c r="AP130" s="32"/>
      <c r="AR130" s="26" t="s">
        <v>289</v>
      </c>
      <c r="AT130" s="69">
        <v>5.3119730185500001E-2</v>
      </c>
      <c r="AU130" s="69">
        <v>0.527487352445</v>
      </c>
      <c r="AV130" s="69">
        <v>1.23102866779E-2</v>
      </c>
      <c r="AW130" s="69">
        <v>8.3305227656E-2</v>
      </c>
      <c r="AX130" s="69">
        <v>0</v>
      </c>
      <c r="AY130" s="69">
        <v>0.32242833052300002</v>
      </c>
      <c r="AZ130" s="69">
        <v>0</v>
      </c>
      <c r="BA130" s="69">
        <v>1.3490725126499999E-3</v>
      </c>
      <c r="BB130" s="69">
        <v>0</v>
      </c>
      <c r="BC130" s="69">
        <v>0</v>
      </c>
      <c r="BD130" s="69">
        <v>0</v>
      </c>
      <c r="BE130" s="69">
        <v>0</v>
      </c>
      <c r="BF130" s="69">
        <v>0</v>
      </c>
    </row>
    <row r="131" spans="41:58" x14ac:dyDescent="0.25">
      <c r="AO131" s="26" t="s">
        <v>289</v>
      </c>
      <c r="AP131" s="32"/>
      <c r="AR131" s="26" t="s">
        <v>289</v>
      </c>
      <c r="AT131" s="69" t="s">
        <v>221</v>
      </c>
      <c r="AU131" s="69" t="s">
        <v>221</v>
      </c>
      <c r="AV131" s="69" t="s">
        <v>221</v>
      </c>
      <c r="AW131" s="69" t="s">
        <v>221</v>
      </c>
      <c r="AX131" s="69" t="s">
        <v>221</v>
      </c>
      <c r="AY131" s="69" t="s">
        <v>221</v>
      </c>
      <c r="AZ131" s="69" t="s">
        <v>221</v>
      </c>
      <c r="BA131" s="69" t="s">
        <v>221</v>
      </c>
      <c r="BB131" s="69" t="s">
        <v>221</v>
      </c>
      <c r="BC131" s="69" t="s">
        <v>221</v>
      </c>
      <c r="BD131" s="69" t="s">
        <v>221</v>
      </c>
      <c r="BE131" s="69" t="s">
        <v>221</v>
      </c>
      <c r="BF131" s="69" t="s">
        <v>221</v>
      </c>
    </row>
    <row r="132" spans="41:58" x14ac:dyDescent="0.25">
      <c r="AO132" s="26" t="s">
        <v>289</v>
      </c>
      <c r="AP132" s="32"/>
      <c r="AR132" s="26" t="s">
        <v>289</v>
      </c>
      <c r="AT132" s="69">
        <v>5.0084317032000003E-2</v>
      </c>
      <c r="AU132" s="69">
        <v>0.73001686340600003</v>
      </c>
      <c r="AV132" s="69">
        <v>1.68634064081E-3</v>
      </c>
      <c r="AW132" s="69">
        <v>4.55311973019E-3</v>
      </c>
      <c r="AX132" s="69">
        <v>0</v>
      </c>
      <c r="AY132" s="69">
        <v>0.21332209106200001</v>
      </c>
      <c r="AZ132" s="69">
        <v>0</v>
      </c>
      <c r="BA132" s="69">
        <v>0</v>
      </c>
      <c r="BB132" s="69">
        <v>3.37268128162E-4</v>
      </c>
      <c r="BC132" s="69">
        <v>0</v>
      </c>
      <c r="BD132" s="69">
        <v>0</v>
      </c>
      <c r="BE132" s="69">
        <v>0</v>
      </c>
      <c r="BF132" s="69">
        <v>0</v>
      </c>
    </row>
    <row r="133" spans="41:58" x14ac:dyDescent="0.25">
      <c r="AO133" s="26" t="s">
        <v>289</v>
      </c>
      <c r="AP133" s="49"/>
      <c r="AR133" s="26" t="s">
        <v>289</v>
      </c>
      <c r="AT133" s="69">
        <v>0</v>
      </c>
      <c r="AU133" s="69">
        <v>0.68381112984799997</v>
      </c>
      <c r="AV133" s="69">
        <v>2.44519392917E-2</v>
      </c>
      <c r="AW133" s="69">
        <v>3.4064080944399999E-2</v>
      </c>
      <c r="AX133" s="69">
        <v>0</v>
      </c>
      <c r="AY133" s="69">
        <v>0.25767284991599998</v>
      </c>
      <c r="AZ133" s="69">
        <v>0</v>
      </c>
      <c r="BA133" s="69">
        <v>0</v>
      </c>
      <c r="BB133" s="69">
        <v>0</v>
      </c>
      <c r="BC133" s="69">
        <v>0</v>
      </c>
      <c r="BD133" s="69">
        <v>0</v>
      </c>
      <c r="BE133" s="69">
        <v>0</v>
      </c>
      <c r="BF133" s="69">
        <v>0</v>
      </c>
    </row>
    <row r="134" spans="41:58" x14ac:dyDescent="0.25">
      <c r="AO134" s="26" t="s">
        <v>289</v>
      </c>
      <c r="AP134" s="32"/>
      <c r="AR134" s="26" t="s">
        <v>289</v>
      </c>
      <c r="AT134" s="69">
        <v>9.9662731871799998E-2</v>
      </c>
      <c r="AU134" s="69">
        <v>0.67639123102900001</v>
      </c>
      <c r="AV134" s="69">
        <v>6.74536256324E-4</v>
      </c>
      <c r="AW134" s="69">
        <v>0.134738617201</v>
      </c>
      <c r="AX134" s="69">
        <v>3.37268128162E-4</v>
      </c>
      <c r="AY134" s="69">
        <v>8.8195615514299996E-2</v>
      </c>
      <c r="AZ134" s="69">
        <v>0</v>
      </c>
      <c r="BA134" s="69">
        <v>0</v>
      </c>
      <c r="BB134" s="69">
        <v>0</v>
      </c>
      <c r="BC134" s="69">
        <v>0</v>
      </c>
      <c r="BD134" s="69">
        <v>0</v>
      </c>
      <c r="BE134" s="69">
        <v>0</v>
      </c>
      <c r="BF134" s="69">
        <v>0</v>
      </c>
    </row>
    <row r="135" spans="41:58" x14ac:dyDescent="0.25">
      <c r="AO135" s="26" t="s">
        <v>289</v>
      </c>
      <c r="AP135" s="32"/>
      <c r="AR135" s="26" t="s">
        <v>289</v>
      </c>
      <c r="AT135" s="69">
        <v>7.0320404721799998E-2</v>
      </c>
      <c r="AU135" s="69">
        <v>0.72596964586799995</v>
      </c>
      <c r="AV135" s="69">
        <v>5.0758853288399998E-2</v>
      </c>
      <c r="AW135" s="69">
        <v>5.76728499157E-2</v>
      </c>
      <c r="AX135" s="69">
        <v>0</v>
      </c>
      <c r="AY135" s="69">
        <v>8.68465430017E-2</v>
      </c>
      <c r="AZ135" s="69">
        <v>7.9258010117999999E-3</v>
      </c>
      <c r="BA135" s="69">
        <v>5.0590219224299997E-4</v>
      </c>
      <c r="BB135" s="69">
        <v>0</v>
      </c>
      <c r="BC135" s="69">
        <v>0</v>
      </c>
      <c r="BD135" s="69">
        <v>0</v>
      </c>
      <c r="BE135" s="69">
        <v>0</v>
      </c>
      <c r="BF135" s="69">
        <v>0</v>
      </c>
    </row>
    <row r="136" spans="41:58" x14ac:dyDescent="0.25">
      <c r="AO136" s="26" t="s">
        <v>289</v>
      </c>
      <c r="AP136" s="32"/>
      <c r="AR136" s="26" t="s">
        <v>289</v>
      </c>
      <c r="AT136" s="69">
        <v>4.3170320404700001E-2</v>
      </c>
      <c r="AU136" s="69">
        <v>0.28819561551400003</v>
      </c>
      <c r="AV136" s="69">
        <v>1.5177065767300001E-3</v>
      </c>
      <c r="AW136" s="69">
        <v>3.70994940978E-3</v>
      </c>
      <c r="AX136" s="69">
        <v>0</v>
      </c>
      <c r="AY136" s="69">
        <v>0.65598650927500002</v>
      </c>
      <c r="AZ136" s="69">
        <v>0</v>
      </c>
      <c r="BA136" s="69">
        <v>0</v>
      </c>
      <c r="BB136" s="69">
        <v>1.68634064081E-4</v>
      </c>
      <c r="BC136" s="69">
        <v>0</v>
      </c>
      <c r="BD136" s="69">
        <v>0</v>
      </c>
      <c r="BE136" s="69">
        <v>0</v>
      </c>
      <c r="BF136" s="69">
        <v>7.2512647554800001E-3</v>
      </c>
    </row>
    <row r="137" spans="41:58" x14ac:dyDescent="0.25">
      <c r="AO137" s="26" t="s">
        <v>289</v>
      </c>
      <c r="AP137" s="32"/>
      <c r="AR137" s="26" t="s">
        <v>289</v>
      </c>
      <c r="AT137" s="69">
        <v>6.7959527824600005E-2</v>
      </c>
      <c r="AU137" s="69">
        <v>0.60118043844900004</v>
      </c>
      <c r="AV137" s="69">
        <v>1.3490725126499999E-3</v>
      </c>
      <c r="AW137" s="69">
        <v>1.39966273187E-2</v>
      </c>
      <c r="AX137" s="69">
        <v>0</v>
      </c>
      <c r="AY137" s="69">
        <v>0.31534569983100003</v>
      </c>
      <c r="AZ137" s="69">
        <v>0</v>
      </c>
      <c r="BA137" s="69">
        <v>0</v>
      </c>
      <c r="BB137" s="69">
        <v>1.68634064081E-4</v>
      </c>
      <c r="BC137" s="69">
        <v>0</v>
      </c>
      <c r="BD137" s="69">
        <v>0</v>
      </c>
      <c r="BE137" s="69">
        <v>0</v>
      </c>
      <c r="BF137" s="69">
        <v>0</v>
      </c>
    </row>
    <row r="138" spans="41:58" x14ac:dyDescent="0.25">
      <c r="AO138" s="26" t="s">
        <v>289</v>
      </c>
      <c r="AP138" s="32"/>
      <c r="AR138" s="26" t="s">
        <v>289</v>
      </c>
      <c r="AT138" s="69">
        <v>6.4249578414800002E-2</v>
      </c>
      <c r="AU138" s="69">
        <v>0.64890387858300003</v>
      </c>
      <c r="AV138" s="69">
        <v>0</v>
      </c>
      <c r="AW138" s="69">
        <v>1.5177065767300001E-3</v>
      </c>
      <c r="AX138" s="69">
        <v>0</v>
      </c>
      <c r="AY138" s="69">
        <v>0.28499156829700001</v>
      </c>
      <c r="AZ138" s="69">
        <v>0</v>
      </c>
      <c r="BA138" s="69">
        <v>0</v>
      </c>
      <c r="BB138" s="69">
        <v>3.37268128162E-4</v>
      </c>
      <c r="BC138" s="69">
        <v>0</v>
      </c>
      <c r="BD138" s="69">
        <v>0</v>
      </c>
      <c r="BE138" s="69">
        <v>0</v>
      </c>
      <c r="BF138" s="69">
        <v>0</v>
      </c>
    </row>
    <row r="139" spans="41:58" x14ac:dyDescent="0.25">
      <c r="AO139" s="26" t="s">
        <v>289</v>
      </c>
      <c r="AP139" s="32"/>
      <c r="AR139" s="26" t="s">
        <v>289</v>
      </c>
      <c r="AT139" s="69">
        <v>5.1433389544700003E-2</v>
      </c>
      <c r="AU139" s="69">
        <v>0.75564924114700005</v>
      </c>
      <c r="AV139" s="69">
        <v>0</v>
      </c>
      <c r="AW139" s="69">
        <v>8.0944350758899997E-3</v>
      </c>
      <c r="AX139" s="69">
        <v>0</v>
      </c>
      <c r="AY139" s="69">
        <v>0.184654300169</v>
      </c>
      <c r="AZ139" s="69">
        <v>0</v>
      </c>
      <c r="BA139" s="69">
        <v>0</v>
      </c>
      <c r="BB139" s="69">
        <v>1.68634064081E-4</v>
      </c>
      <c r="BC139" s="69">
        <v>0</v>
      </c>
      <c r="BD139" s="69">
        <v>0</v>
      </c>
      <c r="BE139" s="69">
        <v>0</v>
      </c>
      <c r="BF139" s="69">
        <v>0</v>
      </c>
    </row>
    <row r="140" spans="41:58" x14ac:dyDescent="0.25">
      <c r="AO140" s="26" t="s">
        <v>289</v>
      </c>
      <c r="AP140" s="32"/>
      <c r="AR140" s="26" t="s">
        <v>289</v>
      </c>
      <c r="AT140" s="69">
        <v>7.9089376054000002E-2</v>
      </c>
      <c r="AU140" s="69">
        <v>0.66037099494100004</v>
      </c>
      <c r="AV140" s="69">
        <v>0</v>
      </c>
      <c r="AW140" s="69">
        <v>2.6981450252999998E-3</v>
      </c>
      <c r="AX140" s="69">
        <v>0</v>
      </c>
      <c r="AY140" s="69">
        <v>0.24502529511000001</v>
      </c>
      <c r="AZ140" s="69">
        <v>0</v>
      </c>
      <c r="BA140" s="69">
        <v>0</v>
      </c>
      <c r="BB140" s="69">
        <v>0</v>
      </c>
      <c r="BC140" s="69">
        <v>1.16357504216E-2</v>
      </c>
      <c r="BD140" s="69">
        <v>0</v>
      </c>
      <c r="BE140" s="69">
        <v>1.18043844857E-3</v>
      </c>
      <c r="BF140" s="69">
        <v>0</v>
      </c>
    </row>
    <row r="141" spans="41:58" x14ac:dyDescent="0.25">
      <c r="AO141" s="26" t="s">
        <v>289</v>
      </c>
      <c r="AP141" s="32"/>
      <c r="AR141" s="26" t="s">
        <v>289</v>
      </c>
      <c r="AT141" s="69">
        <v>0.117537942664</v>
      </c>
      <c r="AU141" s="69">
        <v>0.38903878583500001</v>
      </c>
      <c r="AV141" s="69">
        <v>3.5244519392899999E-2</v>
      </c>
      <c r="AW141" s="69">
        <v>6.7453625632399997E-2</v>
      </c>
      <c r="AX141" s="69">
        <v>0</v>
      </c>
      <c r="AY141" s="69">
        <v>0.390725126476</v>
      </c>
      <c r="AZ141" s="69">
        <v>0</v>
      </c>
      <c r="BA141" s="69">
        <v>0</v>
      </c>
      <c r="BB141" s="69">
        <v>0</v>
      </c>
      <c r="BC141" s="69">
        <v>0</v>
      </c>
      <c r="BD141" s="69">
        <v>0</v>
      </c>
      <c r="BE141" s="69">
        <v>0</v>
      </c>
      <c r="BF141" s="69">
        <v>0</v>
      </c>
    </row>
    <row r="142" spans="41:58" x14ac:dyDescent="0.25">
      <c r="AO142" s="26" t="s">
        <v>289</v>
      </c>
      <c r="AP142" s="32"/>
      <c r="AR142" s="26" t="s">
        <v>289</v>
      </c>
      <c r="AT142" s="69">
        <v>1.68634064081E-4</v>
      </c>
      <c r="AU142" s="69">
        <v>0.65666104553100002</v>
      </c>
      <c r="AV142" s="69">
        <v>0</v>
      </c>
      <c r="AW142" s="69">
        <v>5.6155143338999999E-2</v>
      </c>
      <c r="AX142" s="69">
        <v>0</v>
      </c>
      <c r="AY142" s="69">
        <v>0.28701517706599999</v>
      </c>
      <c r="AZ142" s="69">
        <v>0</v>
      </c>
      <c r="BA142" s="69">
        <v>0</v>
      </c>
      <c r="BB142" s="69">
        <v>0</v>
      </c>
      <c r="BC142" s="69">
        <v>0</v>
      </c>
      <c r="BD142" s="69">
        <v>0</v>
      </c>
      <c r="BE142" s="69">
        <v>0</v>
      </c>
      <c r="BF142" s="69">
        <v>0</v>
      </c>
    </row>
    <row r="143" spans="41:58" x14ac:dyDescent="0.25">
      <c r="AO143" s="26" t="s">
        <v>289</v>
      </c>
      <c r="AP143" s="32"/>
      <c r="AR143" s="26" t="s">
        <v>289</v>
      </c>
      <c r="AT143" s="69">
        <v>2.1247892074200001E-2</v>
      </c>
      <c r="AU143" s="69">
        <v>0.72107925800999995</v>
      </c>
      <c r="AV143" s="69">
        <v>5.76728499157E-2</v>
      </c>
      <c r="AW143" s="69">
        <v>2.58010118044E-2</v>
      </c>
      <c r="AX143" s="69">
        <v>1.68634064081E-4</v>
      </c>
      <c r="AY143" s="69">
        <v>0.17403035413199999</v>
      </c>
      <c r="AZ143" s="69">
        <v>0</v>
      </c>
      <c r="BA143" s="69">
        <v>0</v>
      </c>
      <c r="BB143" s="69">
        <v>0</v>
      </c>
      <c r="BC143" s="69">
        <v>0</v>
      </c>
      <c r="BD143" s="69">
        <v>0</v>
      </c>
      <c r="BE143" s="69">
        <v>0</v>
      </c>
      <c r="BF143" s="69">
        <v>0</v>
      </c>
    </row>
    <row r="144" spans="41:58" x14ac:dyDescent="0.25">
      <c r="AO144" s="26" t="s">
        <v>289</v>
      </c>
      <c r="AP144" s="32"/>
      <c r="AR144" s="26" t="s">
        <v>289</v>
      </c>
      <c r="AT144" s="69">
        <v>0.42613827993300002</v>
      </c>
      <c r="AU144" s="69">
        <v>0.47925801011800001</v>
      </c>
      <c r="AV144" s="69">
        <v>1.1298482293400001E-2</v>
      </c>
      <c r="AW144" s="69">
        <v>1.8887015177100001E-2</v>
      </c>
      <c r="AX144" s="69">
        <v>5.2276559865099999E-3</v>
      </c>
      <c r="AY144" s="69">
        <v>5.88532883642E-2</v>
      </c>
      <c r="AZ144" s="69">
        <v>0</v>
      </c>
      <c r="BA144" s="69">
        <v>0</v>
      </c>
      <c r="BB144" s="69">
        <v>3.37268128162E-4</v>
      </c>
      <c r="BC144" s="69">
        <v>0</v>
      </c>
      <c r="BD144" s="69">
        <v>0</v>
      </c>
      <c r="BE144" s="69">
        <v>0</v>
      </c>
      <c r="BF144" s="69">
        <v>0</v>
      </c>
    </row>
    <row r="145" spans="41:58" x14ac:dyDescent="0.25">
      <c r="AO145" s="26" t="s">
        <v>289</v>
      </c>
      <c r="AP145" s="32"/>
      <c r="AR145" s="26" t="s">
        <v>289</v>
      </c>
      <c r="AT145" s="69">
        <v>5.3962900505899998E-3</v>
      </c>
      <c r="AU145" s="69">
        <v>0.68684654300199999</v>
      </c>
      <c r="AV145" s="69">
        <v>6.2394603709899996E-3</v>
      </c>
      <c r="AW145" s="69">
        <v>2.1922428330500001E-3</v>
      </c>
      <c r="AX145" s="69">
        <v>0</v>
      </c>
      <c r="AY145" s="69">
        <v>0.29595278246200002</v>
      </c>
      <c r="AZ145" s="69">
        <v>0</v>
      </c>
      <c r="BA145" s="69">
        <v>1.85497470489E-3</v>
      </c>
      <c r="BB145" s="69">
        <v>3.37268128162E-4</v>
      </c>
      <c r="BC145" s="69">
        <v>1.18043844857E-3</v>
      </c>
      <c r="BD145" s="69">
        <v>0</v>
      </c>
      <c r="BE145" s="69">
        <v>0</v>
      </c>
      <c r="BF145" s="69">
        <v>0</v>
      </c>
    </row>
    <row r="146" spans="41:58" x14ac:dyDescent="0.25">
      <c r="AO146" s="26" t="s">
        <v>289</v>
      </c>
      <c r="AP146" s="32"/>
      <c r="AR146" s="26" t="s">
        <v>289</v>
      </c>
      <c r="AT146" s="69">
        <v>4.3844856661000003E-3</v>
      </c>
      <c r="AU146" s="69">
        <v>0.491568296796</v>
      </c>
      <c r="AV146" s="69">
        <v>1.6188870151800001E-2</v>
      </c>
      <c r="AW146" s="69">
        <v>6.74536256324E-4</v>
      </c>
      <c r="AX146" s="69">
        <v>6.74536256324E-4</v>
      </c>
      <c r="AY146" s="69">
        <v>0.48650927487399998</v>
      </c>
      <c r="AZ146" s="69">
        <v>0</v>
      </c>
      <c r="BA146" s="69">
        <v>0</v>
      </c>
      <c r="BB146" s="69">
        <v>0</v>
      </c>
      <c r="BC146" s="69">
        <v>0</v>
      </c>
      <c r="BD146" s="69">
        <v>0</v>
      </c>
      <c r="BE146" s="69">
        <v>0</v>
      </c>
      <c r="BF146" s="69">
        <v>0</v>
      </c>
    </row>
    <row r="147" spans="41:58" x14ac:dyDescent="0.25">
      <c r="AO147" s="26" t="s">
        <v>289</v>
      </c>
      <c r="AP147" s="32"/>
      <c r="AR147" s="26" t="s">
        <v>289</v>
      </c>
      <c r="AT147" s="69">
        <v>0</v>
      </c>
      <c r="AU147" s="69">
        <v>0.67521079258000005</v>
      </c>
      <c r="AV147" s="69">
        <v>4.2158516020200003E-3</v>
      </c>
      <c r="AW147" s="69">
        <v>6.74536256324E-4</v>
      </c>
      <c r="AX147" s="69">
        <v>0</v>
      </c>
      <c r="AY147" s="69">
        <v>0.319898819562</v>
      </c>
      <c r="AZ147" s="69">
        <v>0</v>
      </c>
      <c r="BA147" s="69">
        <v>0</v>
      </c>
      <c r="BB147" s="69">
        <v>0</v>
      </c>
      <c r="BC147" s="69">
        <v>0</v>
      </c>
      <c r="BD147" s="69">
        <v>0</v>
      </c>
      <c r="BE147" s="69">
        <v>0</v>
      </c>
      <c r="BF147" s="69">
        <v>0</v>
      </c>
    </row>
    <row r="148" spans="41:58" x14ac:dyDescent="0.25">
      <c r="AO148" s="26" t="s">
        <v>289</v>
      </c>
      <c r="AP148" s="32"/>
      <c r="AR148" s="26" t="s">
        <v>289</v>
      </c>
      <c r="AT148" s="69">
        <v>3.5244519392899999E-2</v>
      </c>
      <c r="AU148" s="69">
        <v>0.44097807757200003</v>
      </c>
      <c r="AV148" s="69">
        <v>0</v>
      </c>
      <c r="AW148" s="69">
        <v>7.7571669477199999E-3</v>
      </c>
      <c r="AX148" s="69">
        <v>0</v>
      </c>
      <c r="AY148" s="69">
        <v>0.51602023608799996</v>
      </c>
      <c r="AZ148" s="69">
        <v>0</v>
      </c>
      <c r="BA148" s="69">
        <v>0</v>
      </c>
      <c r="BB148" s="69">
        <v>0</v>
      </c>
      <c r="BC148" s="69">
        <v>0</v>
      </c>
      <c r="BD148" s="69">
        <v>0</v>
      </c>
      <c r="BE148" s="69">
        <v>0</v>
      </c>
      <c r="BF148" s="69">
        <v>0</v>
      </c>
    </row>
    <row r="149" spans="41:58" x14ac:dyDescent="0.25">
      <c r="AO149" s="26" t="s">
        <v>289</v>
      </c>
      <c r="AP149" s="32"/>
      <c r="AR149" s="26" t="s">
        <v>289</v>
      </c>
      <c r="AT149" s="69">
        <v>0.248903878583</v>
      </c>
      <c r="AU149" s="69">
        <v>0.48010118043799999</v>
      </c>
      <c r="AV149" s="69">
        <v>0</v>
      </c>
      <c r="AW149" s="69">
        <v>2.1922428330500001E-3</v>
      </c>
      <c r="AX149" s="69">
        <v>5.0590219224299997E-4</v>
      </c>
      <c r="AY149" s="69">
        <v>0.26323777402999998</v>
      </c>
      <c r="AZ149" s="69">
        <v>4.3844856661000003E-3</v>
      </c>
      <c r="BA149" s="69">
        <v>5.0590219224299997E-4</v>
      </c>
      <c r="BB149" s="69">
        <v>1.68634064081E-4</v>
      </c>
      <c r="BC149" s="69">
        <v>0</v>
      </c>
      <c r="BD149" s="69">
        <v>0</v>
      </c>
      <c r="BE149" s="69">
        <v>0</v>
      </c>
      <c r="BF149" s="69">
        <v>0</v>
      </c>
    </row>
    <row r="150" spans="41:58" x14ac:dyDescent="0.25">
      <c r="AO150" s="26" t="s">
        <v>289</v>
      </c>
      <c r="AP150" s="32"/>
      <c r="AR150" s="26" t="s">
        <v>289</v>
      </c>
      <c r="AT150" s="69">
        <v>0.15126475548099999</v>
      </c>
      <c r="AU150" s="69">
        <v>0.75649241146699997</v>
      </c>
      <c r="AV150" s="69">
        <v>0</v>
      </c>
      <c r="AW150" s="69">
        <v>9.9494097807800008E-3</v>
      </c>
      <c r="AX150" s="69">
        <v>0</v>
      </c>
      <c r="AY150" s="69">
        <v>8.2293423271499994E-2</v>
      </c>
      <c r="AZ150" s="69">
        <v>0</v>
      </c>
      <c r="BA150" s="69">
        <v>0</v>
      </c>
      <c r="BB150" s="69">
        <v>0</v>
      </c>
      <c r="BC150" s="69">
        <v>0</v>
      </c>
      <c r="BD150" s="69">
        <v>0</v>
      </c>
      <c r="BE150" s="69">
        <v>0</v>
      </c>
      <c r="BF150" s="69">
        <v>0</v>
      </c>
    </row>
    <row r="151" spans="41:58" x14ac:dyDescent="0.25">
      <c r="AO151" s="26" t="s">
        <v>289</v>
      </c>
      <c r="AP151" s="32"/>
      <c r="AR151" s="26" t="s">
        <v>289</v>
      </c>
      <c r="AT151" s="69">
        <v>7.4536256323799996E-2</v>
      </c>
      <c r="AU151" s="69">
        <v>0.64485666104600003</v>
      </c>
      <c r="AV151" s="69">
        <v>0</v>
      </c>
      <c r="AW151" s="69">
        <v>7.0826306914000006E-2</v>
      </c>
      <c r="AX151" s="69">
        <v>0</v>
      </c>
      <c r="AY151" s="69">
        <v>0.20556492411499999</v>
      </c>
      <c r="AZ151" s="69">
        <v>0</v>
      </c>
      <c r="BA151" s="69">
        <v>1.18043844857E-3</v>
      </c>
      <c r="BB151" s="69">
        <v>1.68634064081E-4</v>
      </c>
      <c r="BC151" s="69">
        <v>2.8667790893799998E-3</v>
      </c>
      <c r="BD151" s="69">
        <v>0</v>
      </c>
      <c r="BE151" s="69">
        <v>0</v>
      </c>
      <c r="BF151" s="69">
        <v>0</v>
      </c>
    </row>
    <row r="152" spans="41:58" x14ac:dyDescent="0.25">
      <c r="AO152" s="26" t="s">
        <v>289</v>
      </c>
      <c r="AP152" s="32"/>
      <c r="AR152" s="26" t="s">
        <v>289</v>
      </c>
      <c r="AT152" s="69">
        <v>0.10236087689700001</v>
      </c>
      <c r="AU152" s="69">
        <v>0.53642495784099997</v>
      </c>
      <c r="AV152" s="69">
        <v>3.2209106239499997E-2</v>
      </c>
      <c r="AW152" s="69">
        <v>1.21416526138E-2</v>
      </c>
      <c r="AX152" s="69">
        <v>0</v>
      </c>
      <c r="AY152" s="69">
        <v>0.307082630691</v>
      </c>
      <c r="AZ152" s="69">
        <v>7.41989881956E-3</v>
      </c>
      <c r="BA152" s="69">
        <v>1.85497470489E-3</v>
      </c>
      <c r="BB152" s="69">
        <v>5.0590219224299997E-4</v>
      </c>
      <c r="BC152" s="69">
        <v>0</v>
      </c>
      <c r="BD152" s="69">
        <v>0</v>
      </c>
      <c r="BE152" s="69">
        <v>0</v>
      </c>
      <c r="BF152" s="69">
        <v>0</v>
      </c>
    </row>
    <row r="153" spans="41:58" x14ac:dyDescent="0.25">
      <c r="AO153" s="26" t="s">
        <v>289</v>
      </c>
      <c r="AP153" s="32"/>
      <c r="AR153" s="26" t="s">
        <v>289</v>
      </c>
      <c r="AT153" s="69">
        <v>0.13827993254599999</v>
      </c>
      <c r="AU153" s="69">
        <v>0.80084317031999996</v>
      </c>
      <c r="AV153" s="69">
        <v>8.4317032040500002E-4</v>
      </c>
      <c r="AW153" s="69">
        <v>0</v>
      </c>
      <c r="AX153" s="69">
        <v>0</v>
      </c>
      <c r="AY153" s="69">
        <v>6.0033726812800003E-2</v>
      </c>
      <c r="AZ153" s="69">
        <v>0</v>
      </c>
      <c r="BA153" s="69">
        <v>0</v>
      </c>
      <c r="BB153" s="69">
        <v>0</v>
      </c>
      <c r="BC153" s="69">
        <v>0</v>
      </c>
      <c r="BD153" s="69">
        <v>0</v>
      </c>
      <c r="BE153" s="69">
        <v>0</v>
      </c>
      <c r="BF153" s="69">
        <v>0</v>
      </c>
    </row>
    <row r="154" spans="41:58" x14ac:dyDescent="0.25">
      <c r="AO154" s="26" t="s">
        <v>289</v>
      </c>
      <c r="AP154" s="32"/>
      <c r="AR154" s="26" t="s">
        <v>289</v>
      </c>
      <c r="AT154" s="69">
        <v>2.0236087689700002E-3</v>
      </c>
      <c r="AU154" s="69">
        <v>0.62462057335599996</v>
      </c>
      <c r="AV154" s="69">
        <v>3.2040472175400001E-3</v>
      </c>
      <c r="AW154" s="69">
        <v>0.19156829679599999</v>
      </c>
      <c r="AX154" s="69">
        <v>0</v>
      </c>
      <c r="AY154" s="69">
        <v>0.17858347386199999</v>
      </c>
      <c r="AZ154" s="69">
        <v>0</v>
      </c>
      <c r="BA154" s="69">
        <v>0</v>
      </c>
      <c r="BB154" s="69">
        <v>0</v>
      </c>
      <c r="BC154" s="69">
        <v>0</v>
      </c>
      <c r="BD154" s="69">
        <v>0</v>
      </c>
      <c r="BE154" s="69">
        <v>0</v>
      </c>
      <c r="BF154" s="69">
        <v>0</v>
      </c>
    </row>
    <row r="155" spans="41:58" x14ac:dyDescent="0.25">
      <c r="AO155" s="26" t="s">
        <v>289</v>
      </c>
      <c r="AP155" s="32"/>
      <c r="AR155" s="26" t="s">
        <v>289</v>
      </c>
      <c r="AT155" s="69">
        <v>1.83811129848E-2</v>
      </c>
      <c r="AU155" s="69">
        <v>0.52984822934200004</v>
      </c>
      <c r="AV155" s="69">
        <v>0</v>
      </c>
      <c r="AW155" s="69">
        <v>2.8667790893800001E-2</v>
      </c>
      <c r="AX155" s="69">
        <v>0</v>
      </c>
      <c r="AY155" s="69">
        <v>0.42225969645900002</v>
      </c>
      <c r="AZ155" s="69">
        <v>0</v>
      </c>
      <c r="BA155" s="69">
        <v>3.37268128162E-4</v>
      </c>
      <c r="BB155" s="69">
        <v>5.0590219224299997E-4</v>
      </c>
      <c r="BC155" s="69">
        <v>0</v>
      </c>
      <c r="BD155" s="69">
        <v>0</v>
      </c>
      <c r="BE155" s="69">
        <v>0</v>
      </c>
      <c r="BF155" s="69">
        <v>0</v>
      </c>
    </row>
    <row r="156" spans="41:58" x14ac:dyDescent="0.25">
      <c r="AO156" s="26" t="s">
        <v>1</v>
      </c>
      <c r="AP156" s="32"/>
      <c r="AR156" s="26" t="s">
        <v>1</v>
      </c>
      <c r="AT156" s="69">
        <v>0</v>
      </c>
      <c r="AU156" s="69">
        <v>0.671332209106</v>
      </c>
      <c r="AV156" s="69">
        <v>1.70320404722E-2</v>
      </c>
      <c r="AW156" s="69">
        <v>0.17234401349100001</v>
      </c>
      <c r="AX156" s="69">
        <v>0</v>
      </c>
      <c r="AY156" s="69">
        <v>0.13676222597000001</v>
      </c>
      <c r="AZ156" s="69">
        <v>0</v>
      </c>
      <c r="BA156" s="69">
        <v>0</v>
      </c>
      <c r="BB156" s="69">
        <v>3.37268128162E-4</v>
      </c>
      <c r="BC156" s="69">
        <v>0</v>
      </c>
      <c r="BD156" s="69">
        <v>0</v>
      </c>
      <c r="BE156" s="69">
        <v>2.1922428330500001E-3</v>
      </c>
      <c r="BF156" s="69">
        <v>0</v>
      </c>
    </row>
    <row r="157" spans="41:58" x14ac:dyDescent="0.25">
      <c r="AO157" s="63" t="s">
        <v>1</v>
      </c>
      <c r="AP157" s="32"/>
      <c r="AR157" s="63" t="s">
        <v>1</v>
      </c>
      <c r="AT157" s="69" t="s">
        <v>221</v>
      </c>
      <c r="AU157" s="69" t="s">
        <v>221</v>
      </c>
      <c r="AV157" s="69" t="s">
        <v>221</v>
      </c>
      <c r="AW157" s="69" t="s">
        <v>221</v>
      </c>
      <c r="AX157" s="69" t="s">
        <v>221</v>
      </c>
      <c r="AY157" s="69" t="s">
        <v>221</v>
      </c>
      <c r="AZ157" s="69" t="s">
        <v>221</v>
      </c>
      <c r="BA157" s="69" t="s">
        <v>221</v>
      </c>
      <c r="BB157" s="69" t="s">
        <v>221</v>
      </c>
      <c r="BC157" s="69" t="s">
        <v>221</v>
      </c>
      <c r="BD157" s="69" t="s">
        <v>221</v>
      </c>
      <c r="BE157" s="69" t="s">
        <v>221</v>
      </c>
      <c r="BF157" s="69" t="s">
        <v>221</v>
      </c>
    </row>
    <row r="158" spans="41:58" x14ac:dyDescent="0.25">
      <c r="AO158" s="26" t="s">
        <v>289</v>
      </c>
      <c r="AP158" s="32"/>
      <c r="AR158" s="26" t="s">
        <v>289</v>
      </c>
      <c r="AT158" s="69" t="s">
        <v>221</v>
      </c>
      <c r="AU158" s="69" t="s">
        <v>221</v>
      </c>
      <c r="AV158" s="69" t="s">
        <v>221</v>
      </c>
      <c r="AW158" s="69" t="s">
        <v>221</v>
      </c>
      <c r="AX158" s="69" t="s">
        <v>221</v>
      </c>
      <c r="AY158" s="69" t="s">
        <v>221</v>
      </c>
      <c r="AZ158" s="69" t="s">
        <v>221</v>
      </c>
      <c r="BA158" s="69" t="s">
        <v>221</v>
      </c>
      <c r="BB158" s="69" t="s">
        <v>221</v>
      </c>
      <c r="BC158" s="69" t="s">
        <v>221</v>
      </c>
      <c r="BD158" s="69" t="s">
        <v>221</v>
      </c>
      <c r="BE158" s="69" t="s">
        <v>221</v>
      </c>
      <c r="BF158" s="69" t="s">
        <v>221</v>
      </c>
    </row>
  </sheetData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ALL_data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רפי שטקלר</dc:creator>
  <cp:lastModifiedBy>רפי שטקלר</cp:lastModifiedBy>
  <dcterms:created xsi:type="dcterms:W3CDTF">2026-06-08T18:08:29Z</dcterms:created>
  <dcterms:modified xsi:type="dcterms:W3CDTF">2026-06-08T18:09:15Z</dcterms:modified>
</cp:coreProperties>
</file>